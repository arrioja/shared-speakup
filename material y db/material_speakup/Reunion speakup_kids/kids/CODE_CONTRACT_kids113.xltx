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drawings/drawing4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12645" yWindow="-15" windowWidth="6375" windowHeight="8580" activeTab="8"/>
  </bookViews>
  <sheets>
    <sheet name="DATA BASE" sheetId="8" r:id="rId1"/>
    <sheet name="contract" sheetId="1" r:id="rId2"/>
    <sheet name="factura" sheetId="7" r:id="rId3"/>
    <sheet name="Do not touch" sheetId="3" state="hidden" r:id="rId4"/>
    <sheet name="pick up" sheetId="9" r:id="rId5"/>
    <sheet name="Hoja1" sheetId="6" state="hidden" r:id="rId6"/>
    <sheet name="planilla ingreso" sheetId="10" r:id="rId7"/>
    <sheet name="pickup plantilla" sheetId="11" r:id="rId8"/>
    <sheet name="autorizacion" sheetId="12" r:id="rId9"/>
  </sheets>
  <externalReferences>
    <externalReference r:id="rId10"/>
  </externalReferences>
  <definedNames>
    <definedName name="ACCESS">#REF!</definedName>
    <definedName name="BASIC">#REF!</definedName>
    <definedName name="code">contract!#REF!</definedName>
    <definedName name="condicionespago">factura!$M$3:$M$4</definedName>
    <definedName name="cursos">'Do not touch'!$B$2:$B$6</definedName>
    <definedName name="formasdepago">'Do not touch'!$A$2:$A$5</definedName>
    <definedName name="formaspago">'Do not touch'!$A$2:$A$4</definedName>
    <definedName name="lastname">contract!$E$13</definedName>
    <definedName name="LEV">#REF!</definedName>
    <definedName name="LEVELS">#REF!</definedName>
    <definedName name="locación">contract!$F$34</definedName>
    <definedName name="LOCATION">#REF!</definedName>
    <definedName name="lugarclases">'Do not touch'!$C$2:$C$4</definedName>
    <definedName name="name">contract!$B$13</definedName>
    <definedName name="nombre">contract!$B$13</definedName>
    <definedName name="PROGRAMS">#REF!</definedName>
    <definedName name="SATURDAY">[1]LISTAS!$E$7:$E$11</definedName>
    <definedName name="SATURDAYS">[1]LISTAS!$E$8:$E$11</definedName>
    <definedName name="STUDENT">'DATA BASE'!$A$2:$AM$2</definedName>
    <definedName name="tipohorario">'Do not touch'!$D$2:$D$4</definedName>
    <definedName name="WEEKDAYS">[1]LISTAS!$E$4:$E$6</definedName>
  </definedNames>
  <calcPr calcId="124519"/>
</workbook>
</file>

<file path=xl/calcChain.xml><?xml version="1.0" encoding="utf-8"?>
<calcChain xmlns="http://schemas.openxmlformats.org/spreadsheetml/2006/main">
  <c r="C11" i="12"/>
  <c r="D12"/>
  <c r="C12"/>
  <c r="D10"/>
  <c r="C10"/>
  <c r="K2" i="8"/>
  <c r="L2" s="1"/>
  <c r="M2" s="1"/>
  <c r="N2" s="1"/>
  <c r="C11" i="9" l="1"/>
  <c r="C22" s="1"/>
  <c r="C33" s="1"/>
  <c r="B11"/>
  <c r="B22" s="1"/>
  <c r="B33" s="1"/>
  <c r="C30"/>
  <c r="C29"/>
  <c r="C28"/>
  <c r="C27"/>
  <c r="C19"/>
  <c r="C18"/>
  <c r="C17"/>
  <c r="C16"/>
  <c r="C8"/>
  <c r="C6"/>
  <c r="C7"/>
  <c r="C5"/>
  <c r="C3"/>
  <c r="C14" s="1"/>
  <c r="C25" s="1"/>
  <c r="B3"/>
  <c r="B14" s="1"/>
  <c r="B25" s="1"/>
  <c r="C7" i="7"/>
  <c r="F7"/>
  <c r="J7"/>
  <c r="B8"/>
  <c r="B31" i="1"/>
  <c r="A10" i="7"/>
  <c r="B10"/>
  <c r="E31" i="1"/>
  <c r="E29"/>
  <c r="B27"/>
  <c r="B14"/>
  <c r="G35" l="1"/>
  <c r="F35"/>
  <c r="F34"/>
  <c r="B39"/>
  <c r="B38"/>
  <c r="B37"/>
  <c r="B36"/>
  <c r="B35"/>
  <c r="B34"/>
  <c r="E30"/>
  <c r="B30"/>
  <c r="B29"/>
  <c r="E28"/>
  <c r="B28"/>
  <c r="E27"/>
  <c r="E26"/>
  <c r="B26"/>
  <c r="B23"/>
  <c r="E22"/>
  <c r="B22"/>
  <c r="B21"/>
  <c r="E20"/>
  <c r="B20"/>
  <c r="B19"/>
  <c r="B18"/>
  <c r="E17"/>
  <c r="B17"/>
  <c r="F10"/>
  <c r="B13"/>
  <c r="E13"/>
  <c r="B32" i="7" l="1"/>
  <c r="J21" l="1"/>
  <c r="J20"/>
  <c r="J19"/>
  <c r="J18"/>
  <c r="J17"/>
  <c r="J16"/>
  <c r="J15"/>
  <c r="J4"/>
  <c r="H9" s="1"/>
  <c r="H10" s="1"/>
  <c r="J24" l="1"/>
  <c r="J26" s="1"/>
  <c r="J28" s="1"/>
</calcChain>
</file>

<file path=xl/sharedStrings.xml><?xml version="1.0" encoding="utf-8"?>
<sst xmlns="http://schemas.openxmlformats.org/spreadsheetml/2006/main" count="358" uniqueCount="187">
  <si>
    <t>Dirección de habitación:</t>
  </si>
  <si>
    <t>Dirección trabajo:</t>
  </si>
  <si>
    <t>Programa educativo:</t>
  </si>
  <si>
    <t>Niveles adquiridos:</t>
  </si>
  <si>
    <t>Nivel de inicio:</t>
  </si>
  <si>
    <t>Inglés general</t>
  </si>
  <si>
    <t>Fecha de inicio:</t>
  </si>
  <si>
    <t>Fecha finalización:</t>
  </si>
  <si>
    <t>CONTRATO N°</t>
  </si>
  <si>
    <t>TDC</t>
  </si>
  <si>
    <t>Inglés Turístico</t>
  </si>
  <si>
    <t>Inglés de negocios</t>
  </si>
  <si>
    <t>TOEFL</t>
  </si>
  <si>
    <t>Vacacional</t>
  </si>
  <si>
    <t>Cuotas:</t>
  </si>
  <si>
    <t>Efectivo</t>
  </si>
  <si>
    <t>Cheque</t>
  </si>
  <si>
    <t>f de pago</t>
  </si>
  <si>
    <t>cursos</t>
  </si>
  <si>
    <t>DATOS DEL ESTUDIANTE</t>
  </si>
  <si>
    <t>DATOS DIDÁCTICOS</t>
  </si>
  <si>
    <t>DATOS DEL REPRESENTANTE</t>
  </si>
  <si>
    <t>REGISTRO DEL ESTUDIANTE</t>
  </si>
  <si>
    <t>Nombres:</t>
  </si>
  <si>
    <t>Apellidos:</t>
  </si>
  <si>
    <t>Teléfono:</t>
  </si>
  <si>
    <t>Lugar de clases</t>
  </si>
  <si>
    <t>In-school</t>
  </si>
  <si>
    <t>In-company</t>
  </si>
  <si>
    <t>At-home</t>
  </si>
  <si>
    <t>Tipo de horario:</t>
  </si>
  <si>
    <t>Tipo de horario</t>
  </si>
  <si>
    <t>Libre</t>
  </si>
  <si>
    <t>Restringido matutino</t>
  </si>
  <si>
    <t>Restringido sabatino</t>
  </si>
  <si>
    <t>Observaciones:</t>
  </si>
  <si>
    <t>Transferencia</t>
  </si>
  <si>
    <t>Celular:</t>
  </si>
  <si>
    <t>Fax:</t>
  </si>
  <si>
    <t>COMPROMISO DE PAGO</t>
  </si>
  <si>
    <t>Fecha de Emision</t>
  </si>
  <si>
    <t>FORMA LIBRE</t>
  </si>
  <si>
    <t>Nombre o Razon Social:</t>
  </si>
  <si>
    <t>No RIF</t>
  </si>
  <si>
    <t>Domicilio Fiscal:</t>
  </si>
  <si>
    <t>Telefonos:</t>
  </si>
  <si>
    <t>Orden de Compra No.</t>
  </si>
  <si>
    <t>Fecha Emis</t>
  </si>
  <si>
    <t>Condiciones de pago:</t>
  </si>
  <si>
    <t>Fecha Venc</t>
  </si>
  <si>
    <t>CONCEPTO</t>
  </si>
  <si>
    <t>CANTIDAD TOTAL</t>
  </si>
  <si>
    <t>PRECIO UNITARIO</t>
  </si>
  <si>
    <t>TOTAL BsF.</t>
  </si>
  <si>
    <t>UNITARIO</t>
  </si>
  <si>
    <t>Bs.</t>
  </si>
  <si>
    <t>SUB-TOTAL BsF.</t>
  </si>
  <si>
    <t>IVA 12%</t>
  </si>
  <si>
    <t>TOTAL A PAGAR BsF.</t>
  </si>
  <si>
    <t xml:space="preserve">SON: </t>
  </si>
  <si>
    <t>REALIZAR CHEQUE A NOMBRE DE : "Instituto de Idiomas Speak Up c.a."</t>
  </si>
  <si>
    <t>Contado</t>
  </si>
  <si>
    <t>Crédito</t>
  </si>
  <si>
    <t>Cédula/RIF:</t>
  </si>
  <si>
    <t>NA</t>
  </si>
  <si>
    <t>SEISCIENTOS EXACTOS</t>
  </si>
  <si>
    <t>A CAR TRIP 1</t>
  </si>
  <si>
    <t>A CAR TRIP 2</t>
  </si>
  <si>
    <t>CULTURAL EXERCISES</t>
  </si>
  <si>
    <t>FILM SET</t>
  </si>
  <si>
    <t>ON THE MOTORWAY 1</t>
  </si>
  <si>
    <t>ON THE MOTORWAY 2</t>
  </si>
  <si>
    <t>AT THE AIRPORT 1</t>
  </si>
  <si>
    <t>AT THE AIRPORT 2</t>
  </si>
  <si>
    <t>MEETING YOUR PENFRIEND</t>
  </si>
  <si>
    <t>Student´s name</t>
  </si>
  <si>
    <t>Studen´s last name</t>
  </si>
  <si>
    <t>Rif/CI</t>
  </si>
  <si>
    <t>Start date</t>
  </si>
  <si>
    <t>End date</t>
  </si>
  <si>
    <t>Today</t>
  </si>
  <si>
    <t>Phone  1</t>
  </si>
  <si>
    <t>Phone  2</t>
  </si>
  <si>
    <t>email 1</t>
  </si>
  <si>
    <t>Home address</t>
  </si>
  <si>
    <t>Work address</t>
  </si>
  <si>
    <t>PROGRAM</t>
  </si>
  <si>
    <t>ENGLISH</t>
  </si>
  <si>
    <t>END LEVEL]</t>
  </si>
  <si>
    <t>[START LEVEL</t>
  </si>
  <si>
    <t>LOCATION</t>
  </si>
  <si>
    <t>TYPE OF ACCESS</t>
  </si>
  <si>
    <t xml:space="preserve">Nivel final: </t>
  </si>
  <si>
    <t>E-mail 1:</t>
  </si>
  <si>
    <t>Cancelado/Factura</t>
  </si>
  <si>
    <t>Fechas de pago</t>
  </si>
  <si>
    <t>LEVELS BOUGHT</t>
  </si>
  <si>
    <t>CONTRATO N°:</t>
  </si>
  <si>
    <t>BANCO:</t>
  </si>
  <si>
    <t>CHEQUE/TRANSF N°:</t>
  </si>
  <si>
    <t>REPRESENTANTE</t>
  </si>
  <si>
    <t>ASESOR DIDÁCTICO</t>
  </si>
  <si>
    <t xml:space="preserve">INSTITUTO DE IDIOMAS SPEAK UP C.A. </t>
  </si>
  <si>
    <r>
      <t>RIF: J-29643901-0</t>
    </r>
    <r>
      <rPr>
        <b/>
        <sz val="12"/>
        <rFont val="Calibri"/>
        <family val="2"/>
        <scheme val="minor"/>
      </rPr>
      <t xml:space="preserve"> </t>
    </r>
  </si>
  <si>
    <t>( E )</t>
  </si>
  <si>
    <t>DATOS DE PERSONAS AUTORIZADAS A RECOGER AL NIÑ@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</si>
  <si>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</si>
  <si>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</si>
  <si>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</si>
  <si>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</si>
  <si>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</si>
  <si>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</si>
  <si>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</si>
  <si>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</si>
  <si>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</si>
  <si>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</si>
  <si>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</si>
  <si>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0001-1</t>
  </si>
  <si>
    <t>VIERNES Y SÁBADOS</t>
  </si>
  <si>
    <t># CONTRACT</t>
  </si>
  <si>
    <t>AGE</t>
  </si>
  <si>
    <t>STATUS</t>
  </si>
  <si>
    <t>WEEK DAYS</t>
  </si>
  <si>
    <t>SATURDAYS</t>
  </si>
  <si>
    <t>Guardian´s name</t>
  </si>
  <si>
    <t>Guardian´s last name</t>
  </si>
  <si>
    <t>CI</t>
  </si>
  <si>
    <t>Receipt holder</t>
  </si>
  <si>
    <t>C.A./S.A./etc</t>
  </si>
  <si>
    <t>ID1</t>
  </si>
  <si>
    <t>ID2</t>
  </si>
  <si>
    <t>ID3</t>
  </si>
  <si>
    <t>Edad:</t>
  </si>
  <si>
    <t>Pick up name 1</t>
  </si>
  <si>
    <t>Pick up last name 1</t>
  </si>
  <si>
    <t>Pick up name 2</t>
  </si>
  <si>
    <t>Pick up last name 2</t>
  </si>
  <si>
    <t>Pick up name 3</t>
  </si>
  <si>
    <t>Pick up last name3</t>
  </si>
  <si>
    <t>Phone 1</t>
  </si>
  <si>
    <t>Phone 2</t>
  </si>
  <si>
    <t>Phone 3</t>
  </si>
  <si>
    <t>Horario:</t>
  </si>
  <si>
    <t>Inscripción:</t>
  </si>
  <si>
    <t>Material didáctico:</t>
  </si>
  <si>
    <t xml:space="preserve">Tlf: 0295.262.02.27 </t>
  </si>
  <si>
    <t>cornett</t>
  </si>
  <si>
    <t>el paraiso</t>
  </si>
  <si>
    <t>mi@ggg.com</t>
  </si>
  <si>
    <t>chacao</t>
  </si>
  <si>
    <t>speak up</t>
  </si>
  <si>
    <t>ca</t>
  </si>
  <si>
    <t>bayside</t>
  </si>
  <si>
    <t>medina</t>
  </si>
  <si>
    <t>miguel</t>
  </si>
  <si>
    <t>SMILE 1</t>
  </si>
  <si>
    <t>AT-HOME</t>
  </si>
  <si>
    <t>5:00 A 5:50</t>
  </si>
  <si>
    <t>11:00 A 11:50</t>
  </si>
  <si>
    <t>j296439010</t>
  </si>
  <si>
    <t>pachio</t>
  </si>
  <si>
    <t>papi</t>
  </si>
  <si>
    <t>medinaa</t>
  </si>
  <si>
    <t xml:space="preserve">speakupkids@gmail.com </t>
  </si>
  <si>
    <t xml:space="preserve">Facebook: speakupkids@gmail.com </t>
  </si>
  <si>
    <t>Programa educativo Inglés</t>
  </si>
  <si>
    <t>Estudiantes:</t>
  </si>
  <si>
    <t>Mes:</t>
  </si>
  <si>
    <t>Nombre:</t>
  </si>
  <si>
    <t>CI:</t>
  </si>
  <si>
    <t>Apellido:</t>
  </si>
  <si>
    <t>Representante</t>
  </si>
  <si>
    <t xml:space="preserve">Persona autizada a retirar a </t>
  </si>
  <si>
    <t>AUTORIZACIÓN</t>
  </si>
  <si>
    <t xml:space="preserve">Por medio de la presente, yo, </t>
  </si>
  <si>
    <t>representante legal del menor de edad</t>
  </si>
  <si>
    <t>portador de la cédula de identidad N°</t>
  </si>
  <si>
    <t xml:space="preserve">autorizo a mi representado(a) a abandonar las instalaciones del instituto sin la compañía </t>
  </si>
  <si>
    <t>de un adulto, una vez culminadas sus actividades.</t>
  </si>
  <si>
    <t>Instituto de Idiomas Speak Up C.A., Rif: J-29643901-0, de cualquier responsabilidad</t>
  </si>
  <si>
    <t>para con mi representado(a) una vez que este(a) salga de la institución.</t>
  </si>
  <si>
    <t xml:space="preserve">Manifiesto entender las consecuencias de dicha medida de seguridad y exonero al </t>
  </si>
  <si>
    <t xml:space="preserve">Mia </t>
  </si>
  <si>
    <t>Escobar Cornett</t>
  </si>
  <si>
    <t xml:space="preserve">Camilo </t>
  </si>
  <si>
    <t>Medina</t>
  </si>
  <si>
    <t>Instituto de Idiomas Speak Up</t>
  </si>
</sst>
</file>

<file path=xl/styles.xml><?xml version="1.0" encoding="utf-8"?>
<styleSheet xmlns="http://schemas.openxmlformats.org/spreadsheetml/2006/main">
  <numFmts count="1">
    <numFmt numFmtId="41" formatCode="_ * #,##0_ ;_ * \-#,##0_ ;_ * &quot;-&quot;_ ;_ @_ "/>
  </numFmts>
  <fonts count="2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i/>
      <sz val="11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b/>
      <sz val="9"/>
      <color indexed="63"/>
      <name val="Arial"/>
      <family val="2"/>
    </font>
    <font>
      <sz val="9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8"/>
      <color indexed="63"/>
      <name val="Arial"/>
      <family val="2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86">
    <xf numFmtId="0" fontId="0" fillId="0" borderId="0" xfId="0"/>
    <xf numFmtId="0" fontId="0" fillId="0" borderId="10" xfId="0" applyBorder="1"/>
    <xf numFmtId="14" fontId="0" fillId="0" borderId="19" xfId="0" applyNumberFormat="1" applyBorder="1" applyAlignment="1">
      <alignment horizontal="left"/>
    </xf>
    <xf numFmtId="0" fontId="7" fillId="0" borderId="0" xfId="0" applyFont="1"/>
    <xf numFmtId="0" fontId="7" fillId="0" borderId="0" xfId="0" applyFont="1" applyBorder="1"/>
    <xf numFmtId="0" fontId="7" fillId="0" borderId="19" xfId="0" applyFont="1" applyBorder="1" applyAlignment="1">
      <alignment horizontal="left"/>
    </xf>
    <xf numFmtId="0" fontId="7" fillId="0" borderId="23" xfId="0" applyFont="1" applyBorder="1" applyAlignment="1">
      <alignment vertical="center" wrapText="1"/>
    </xf>
    <xf numFmtId="15" fontId="7" fillId="0" borderId="24" xfId="0" applyNumberFormat="1" applyFont="1" applyBorder="1" applyAlignment="1">
      <alignment vertical="center" wrapText="1"/>
    </xf>
    <xf numFmtId="0" fontId="9" fillId="0" borderId="10" xfId="0" applyFont="1" applyBorder="1"/>
    <xf numFmtId="0" fontId="7" fillId="0" borderId="10" xfId="0" applyFont="1" applyBorder="1" applyAlignment="1"/>
    <xf numFmtId="0" fontId="7" fillId="0" borderId="0" xfId="0" applyFont="1" applyBorder="1" applyAlignment="1"/>
    <xf numFmtId="0" fontId="9" fillId="0" borderId="19" xfId="0" applyFont="1" applyBorder="1" applyAlignment="1"/>
    <xf numFmtId="0" fontId="9" fillId="0" borderId="10" xfId="0" applyFont="1" applyBorder="1" applyAlignment="1"/>
    <xf numFmtId="15" fontId="7" fillId="0" borderId="10" xfId="0" applyNumberFormat="1" applyFont="1" applyBorder="1"/>
    <xf numFmtId="0" fontId="7" fillId="0" borderId="31" xfId="0" applyFont="1" applyBorder="1"/>
    <xf numFmtId="0" fontId="7" fillId="0" borderId="34" xfId="0" applyFont="1" applyBorder="1"/>
    <xf numFmtId="49" fontId="7" fillId="0" borderId="0" xfId="0" applyNumberFormat="1" applyFont="1" applyBorder="1"/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horizontal="center"/>
    </xf>
    <xf numFmtId="4" fontId="7" fillId="0" borderId="0" xfId="0" applyNumberFormat="1" applyFont="1" applyBorder="1"/>
    <xf numFmtId="41" fontId="7" fillId="0" borderId="34" xfId="0" applyNumberFormat="1" applyFont="1" applyBorder="1"/>
    <xf numFmtId="0" fontId="12" fillId="0" borderId="31" xfId="0" applyFont="1" applyBorder="1"/>
    <xf numFmtId="0" fontId="7" fillId="0" borderId="0" xfId="0" applyFont="1" applyBorder="1" applyAlignment="1">
      <alignment horizontal="left"/>
    </xf>
    <xf numFmtId="4" fontId="7" fillId="0" borderId="34" xfId="0" applyNumberFormat="1" applyFont="1" applyBorder="1"/>
    <xf numFmtId="0" fontId="12" fillId="0" borderId="0" xfId="0" applyFont="1" applyFill="1" applyBorder="1"/>
    <xf numFmtId="0" fontId="13" fillId="0" borderId="31" xfId="0" applyFont="1" applyBorder="1"/>
    <xf numFmtId="4" fontId="14" fillId="0" borderId="34" xfId="0" applyNumberFormat="1" applyFont="1" applyBorder="1"/>
    <xf numFmtId="0" fontId="12" fillId="0" borderId="31" xfId="0" applyFont="1" applyFill="1" applyBorder="1"/>
    <xf numFmtId="0" fontId="7" fillId="0" borderId="36" xfId="0" applyFont="1" applyBorder="1"/>
    <xf numFmtId="0" fontId="7" fillId="0" borderId="37" xfId="0" applyFont="1" applyBorder="1"/>
    <xf numFmtId="0" fontId="7" fillId="0" borderId="38" xfId="0" applyFont="1" applyBorder="1"/>
    <xf numFmtId="0" fontId="7" fillId="0" borderId="26" xfId="0" applyFont="1" applyBorder="1"/>
    <xf numFmtId="0" fontId="7" fillId="0" borderId="35" xfId="0" applyFont="1" applyBorder="1"/>
    <xf numFmtId="0" fontId="14" fillId="0" borderId="10" xfId="0" applyFont="1" applyBorder="1" applyAlignment="1"/>
    <xf numFmtId="0" fontId="8" fillId="0" borderId="0" xfId="0" applyFont="1" applyBorder="1"/>
    <xf numFmtId="0" fontId="7" fillId="0" borderId="10" xfId="0" applyNumberFormat="1" applyFont="1" applyBorder="1" applyAlignment="1">
      <alignment horizontal="center"/>
    </xf>
    <xf numFmtId="0" fontId="17" fillId="0" borderId="0" xfId="0" applyFont="1"/>
    <xf numFmtId="0" fontId="0" fillId="0" borderId="0" xfId="0" applyNumberFormat="1"/>
    <xf numFmtId="49" fontId="7" fillId="0" borderId="26" xfId="0" applyNumberFormat="1" applyFont="1" applyBorder="1"/>
    <xf numFmtId="0" fontId="7" fillId="0" borderId="25" xfId="0" applyFont="1" applyBorder="1"/>
    <xf numFmtId="14" fontId="0" fillId="0" borderId="21" xfId="0" applyNumberFormat="1" applyBorder="1" applyAlignment="1">
      <alignment horizontal="left"/>
    </xf>
    <xf numFmtId="0" fontId="0" fillId="0" borderId="0" xfId="0" applyNumberFormat="1" applyBorder="1"/>
    <xf numFmtId="0" fontId="0" fillId="0" borderId="39" xfId="0" applyNumberFormat="1" applyBorder="1" applyAlignment="1">
      <alignment horizontal="center"/>
    </xf>
    <xf numFmtId="0" fontId="0" fillId="0" borderId="11" xfId="0" applyNumberFormat="1" applyBorder="1" applyAlignment="1">
      <alignment horizontal="left" vertical="center"/>
    </xf>
    <xf numFmtId="0" fontId="0" fillId="0" borderId="14" xfId="0" applyNumberFormat="1" applyBorder="1" applyAlignment="1">
      <alignment horizontal="left" vertical="center"/>
    </xf>
    <xf numFmtId="0" fontId="0" fillId="0" borderId="16" xfId="0" applyNumberFormat="1" applyBorder="1" applyAlignment="1">
      <alignment horizontal="left" vertical="center"/>
    </xf>
    <xf numFmtId="0" fontId="2" fillId="0" borderId="0" xfId="1" applyNumberFormat="1" applyBorder="1" applyAlignment="1" applyProtection="1"/>
    <xf numFmtId="0" fontId="0" fillId="0" borderId="11" xfId="0" applyNumberFormat="1" applyBorder="1"/>
    <xf numFmtId="0" fontId="0" fillId="0" borderId="28" xfId="0" applyNumberFormat="1" applyBorder="1" applyAlignment="1"/>
    <xf numFmtId="0" fontId="0" fillId="0" borderId="29" xfId="0" applyNumberFormat="1" applyBorder="1" applyAlignment="1"/>
    <xf numFmtId="0" fontId="0" fillId="0" borderId="33" xfId="0" applyNumberFormat="1" applyBorder="1" applyAlignment="1"/>
    <xf numFmtId="0" fontId="0" fillId="0" borderId="30" xfId="0" applyNumberFormat="1" applyBorder="1" applyAlignment="1"/>
    <xf numFmtId="0" fontId="0" fillId="0" borderId="14" xfId="0" applyNumberFormat="1" applyBorder="1"/>
    <xf numFmtId="0" fontId="0" fillId="0" borderId="19" xfId="0" applyNumberFormat="1" applyBorder="1" applyAlignment="1">
      <alignment horizontal="left"/>
    </xf>
    <xf numFmtId="0" fontId="0" fillId="0" borderId="23" xfId="0" applyNumberFormat="1" applyBorder="1" applyAlignment="1">
      <alignment horizontal="left"/>
    </xf>
    <xf numFmtId="0" fontId="0" fillId="0" borderId="36" xfId="0" applyNumberFormat="1" applyBorder="1" applyAlignment="1"/>
    <xf numFmtId="0" fontId="0" fillId="0" borderId="38" xfId="0" applyNumberFormat="1" applyBorder="1" applyAlignment="1"/>
    <xf numFmtId="0" fontId="0" fillId="0" borderId="23" xfId="0" applyNumberFormat="1" applyBorder="1" applyAlignment="1"/>
    <xf numFmtId="0" fontId="0" fillId="0" borderId="20" xfId="0" applyNumberFormat="1" applyBorder="1" applyAlignment="1"/>
    <xf numFmtId="0" fontId="0" fillId="0" borderId="31" xfId="0" applyNumberFormat="1" applyBorder="1"/>
    <xf numFmtId="0" fontId="0" fillId="0" borderId="26" xfId="0" applyNumberFormat="1" applyBorder="1"/>
    <xf numFmtId="0" fontId="0" fillId="0" borderId="27" xfId="0" applyNumberFormat="1" applyBorder="1"/>
    <xf numFmtId="0" fontId="0" fillId="0" borderId="4" xfId="0" applyNumberFormat="1" applyBorder="1"/>
    <xf numFmtId="0" fontId="0" fillId="0" borderId="4" xfId="0" applyNumberFormat="1" applyBorder="1" applyAlignment="1"/>
    <xf numFmtId="0" fontId="0" fillId="0" borderId="0" xfId="0" applyNumberFormat="1" applyFill="1" applyBorder="1"/>
    <xf numFmtId="0" fontId="1" fillId="0" borderId="0" xfId="0" applyNumberFormat="1" applyFont="1" applyBorder="1"/>
    <xf numFmtId="0" fontId="0" fillId="0" borderId="11" xfId="0" applyNumberFormat="1" applyBorder="1" applyAlignment="1">
      <alignment horizontal="left"/>
    </xf>
    <xf numFmtId="0" fontId="5" fillId="0" borderId="0" xfId="0" applyNumberFormat="1" applyFont="1" applyBorder="1"/>
    <xf numFmtId="0" fontId="0" fillId="0" borderId="14" xfId="0" applyNumberFormat="1" applyBorder="1" applyAlignment="1">
      <alignment horizontal="left"/>
    </xf>
    <xf numFmtId="0" fontId="0" fillId="0" borderId="15" xfId="0" applyNumberFormat="1" applyBorder="1" applyAlignment="1">
      <alignment horizontal="left"/>
    </xf>
    <xf numFmtId="0" fontId="0" fillId="0" borderId="10" xfId="0" applyNumberFormat="1" applyBorder="1" applyAlignment="1">
      <alignment horizontal="left"/>
    </xf>
    <xf numFmtId="0" fontId="0" fillId="0" borderId="16" xfId="0" applyNumberFormat="1" applyBorder="1" applyAlignment="1">
      <alignment horizontal="left"/>
    </xf>
    <xf numFmtId="0" fontId="0" fillId="0" borderId="18" xfId="0" applyNumberFormat="1" applyBorder="1" applyAlignment="1">
      <alignment horizontal="left"/>
    </xf>
    <xf numFmtId="0" fontId="0" fillId="0" borderId="17" xfId="0" applyNumberFormat="1" applyBorder="1" applyAlignment="1">
      <alignment horizontal="left"/>
    </xf>
    <xf numFmtId="0" fontId="0" fillId="0" borderId="16" xfId="0" applyNumberFormat="1" applyBorder="1"/>
    <xf numFmtId="0" fontId="0" fillId="0" borderId="22" xfId="0" applyNumberFormat="1" applyBorder="1" applyAlignment="1">
      <alignment horizontal="left"/>
    </xf>
    <xf numFmtId="0" fontId="0" fillId="0" borderId="32" xfId="0" applyNumberFormat="1" applyBorder="1" applyAlignment="1"/>
    <xf numFmtId="0" fontId="0" fillId="0" borderId="5" xfId="0" applyNumberFormat="1" applyBorder="1" applyAlignment="1"/>
    <xf numFmtId="0" fontId="0" fillId="0" borderId="6" xfId="0" applyNumberFormat="1" applyBorder="1" applyAlignment="1"/>
    <xf numFmtId="1" fontId="0" fillId="0" borderId="10" xfId="0" applyNumberFormat="1" applyFill="1" applyBorder="1" applyAlignment="1">
      <alignment horizontal="center"/>
    </xf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left"/>
    </xf>
    <xf numFmtId="0" fontId="2" fillId="0" borderId="0" xfId="1" applyNumberFormat="1" applyFill="1" applyBorder="1" applyAlignment="1" applyProtection="1"/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0" fillId="0" borderId="12" xfId="0" applyNumberFormat="1" applyFont="1" applyBorder="1" applyAlignment="1">
      <alignment horizontal="left" vertical="center"/>
    </xf>
    <xf numFmtId="0" fontId="6" fillId="0" borderId="23" xfId="0" applyNumberFormat="1" applyFont="1" applyBorder="1" applyAlignment="1">
      <alignment vertical="center"/>
    </xf>
    <xf numFmtId="0" fontId="6" fillId="0" borderId="22" xfId="0" applyNumberFormat="1" applyFont="1" applyBorder="1" applyAlignment="1">
      <alignment vertical="center"/>
    </xf>
    <xf numFmtId="0" fontId="0" fillId="0" borderId="33" xfId="0" applyNumberFormat="1" applyBorder="1" applyAlignment="1">
      <alignment horizontal="left" vertical="center"/>
    </xf>
    <xf numFmtId="0" fontId="0" fillId="0" borderId="24" xfId="0" applyNumberFormat="1" applyBorder="1" applyAlignment="1">
      <alignment horizontal="left" vertical="center"/>
    </xf>
    <xf numFmtId="49" fontId="0" fillId="0" borderId="10" xfId="0" applyNumberFormat="1" applyFill="1" applyBorder="1"/>
    <xf numFmtId="0" fontId="0" fillId="0" borderId="10" xfId="0" applyNumberFormat="1" applyFill="1" applyBorder="1"/>
    <xf numFmtId="14" fontId="0" fillId="0" borderId="10" xfId="0" applyNumberFormat="1" applyFill="1" applyBorder="1"/>
    <xf numFmtId="0" fontId="0" fillId="0" borderId="10" xfId="0" applyNumberFormat="1" applyFill="1" applyBorder="1" applyAlignment="1">
      <alignment horizontal="center"/>
    </xf>
    <xf numFmtId="0" fontId="0" fillId="0" borderId="0" xfId="0" applyNumberFormat="1" applyFill="1"/>
    <xf numFmtId="14" fontId="17" fillId="0" borderId="10" xfId="0" applyNumberFormat="1" applyFont="1" applyFill="1" applyBorder="1"/>
    <xf numFmtId="0" fontId="0" fillId="0" borderId="41" xfId="0" applyNumberFormat="1" applyFill="1" applyBorder="1"/>
    <xf numFmtId="0" fontId="0" fillId="0" borderId="28" xfId="0" applyNumberFormat="1" applyBorder="1" applyAlignment="1">
      <alignment horizontal="left"/>
    </xf>
    <xf numFmtId="0" fontId="3" fillId="0" borderId="0" xfId="0" applyNumberFormat="1" applyFont="1" applyBorder="1" applyAlignment="1"/>
    <xf numFmtId="0" fontId="0" fillId="0" borderId="12" xfId="0" applyNumberForma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5" fillId="0" borderId="12" xfId="0" applyNumberFormat="1" applyFont="1" applyBorder="1" applyAlignment="1">
      <alignment horizontal="left"/>
    </xf>
    <xf numFmtId="0" fontId="16" fillId="0" borderId="12" xfId="0" applyNumberFormat="1" applyFont="1" applyBorder="1" applyAlignment="1">
      <alignment horizontal="center"/>
    </xf>
    <xf numFmtId="0" fontId="16" fillId="0" borderId="13" xfId="0" applyNumberFormat="1" applyFont="1" applyBorder="1" applyAlignment="1">
      <alignment horizontal="center"/>
    </xf>
    <xf numFmtId="0" fontId="2" fillId="0" borderId="10" xfId="1" applyNumberFormat="1" applyFill="1" applyBorder="1" applyAlignment="1" applyProtection="1"/>
    <xf numFmtId="0" fontId="0" fillId="0" borderId="0" xfId="0" applyNumberFormat="1" applyFill="1" applyBorder="1" applyAlignment="1">
      <alignment horizontal="left"/>
    </xf>
    <xf numFmtId="14" fontId="0" fillId="0" borderId="10" xfId="0" applyNumberFormat="1" applyBorder="1" applyAlignment="1">
      <alignment horizontal="left"/>
    </xf>
    <xf numFmtId="14" fontId="0" fillId="0" borderId="17" xfId="0" applyNumberFormat="1" applyBorder="1" applyAlignment="1">
      <alignment horizontal="left"/>
    </xf>
    <xf numFmtId="0" fontId="3" fillId="0" borderId="0" xfId="0" applyNumberFormat="1" applyFont="1" applyFill="1" applyBorder="1"/>
    <xf numFmtId="0" fontId="0" fillId="0" borderId="12" xfId="0" applyNumberForma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0" fillId="0" borderId="12" xfId="0" applyNumberFormat="1" applyFont="1" applyBorder="1" applyAlignment="1">
      <alignment horizontal="left" vertical="center"/>
    </xf>
    <xf numFmtId="0" fontId="21" fillId="0" borderId="25" xfId="0" applyFont="1" applyBorder="1"/>
    <xf numFmtId="0" fontId="3" fillId="0" borderId="26" xfId="0" applyFont="1" applyBorder="1"/>
    <xf numFmtId="0" fontId="0" fillId="0" borderId="35" xfId="0" applyBorder="1"/>
    <xf numFmtId="0" fontId="3" fillId="0" borderId="31" xfId="0" applyFont="1" applyBorder="1"/>
    <xf numFmtId="0" fontId="0" fillId="0" borderId="34" xfId="0" applyBorder="1"/>
    <xf numFmtId="0" fontId="0" fillId="0" borderId="31" xfId="0" applyBorder="1"/>
    <xf numFmtId="0" fontId="3" fillId="0" borderId="31" xfId="0" applyFont="1" applyBorder="1" applyAlignment="1">
      <alignment horizontal="left"/>
    </xf>
    <xf numFmtId="0" fontId="21" fillId="0" borderId="31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0" fillId="0" borderId="38" xfId="0" applyBorder="1"/>
    <xf numFmtId="0" fontId="22" fillId="0" borderId="34" xfId="0" applyFont="1" applyBorder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19" xfId="0" applyNumberFormat="1" applyFont="1" applyBorder="1" applyAlignment="1">
      <alignment horizontal="left" vertical="center"/>
    </xf>
    <xf numFmtId="0" fontId="6" fillId="0" borderId="23" xfId="0" applyNumberFormat="1" applyFont="1" applyBorder="1" applyAlignment="1">
      <alignment horizontal="left" vertical="center"/>
    </xf>
    <xf numFmtId="0" fontId="6" fillId="0" borderId="20" xfId="0" applyNumberFormat="1" applyFont="1" applyBorder="1" applyAlignment="1">
      <alignment horizontal="left" vertical="center"/>
    </xf>
    <xf numFmtId="0" fontId="0" fillId="0" borderId="19" xfId="0" applyNumberFormat="1" applyBorder="1" applyAlignment="1">
      <alignment horizontal="left" vertical="center"/>
    </xf>
    <xf numFmtId="0" fontId="0" fillId="0" borderId="23" xfId="0" applyNumberFormat="1" applyBorder="1" applyAlignment="1">
      <alignment horizontal="left" vertical="center"/>
    </xf>
    <xf numFmtId="0" fontId="0" fillId="0" borderId="20" xfId="0" applyNumberFormat="1" applyBorder="1" applyAlignment="1">
      <alignment horizontal="left" vertical="center"/>
    </xf>
    <xf numFmtId="0" fontId="0" fillId="0" borderId="12" xfId="0" applyNumberFormat="1" applyBorder="1" applyAlignment="1">
      <alignment horizontal="left" vertical="center"/>
    </xf>
    <xf numFmtId="0" fontId="0" fillId="0" borderId="13" xfId="0" applyNumberFormat="1" applyBorder="1" applyAlignment="1">
      <alignment horizontal="left" vertical="center"/>
    </xf>
    <xf numFmtId="0" fontId="6" fillId="0" borderId="10" xfId="0" applyNumberFormat="1" applyFont="1" applyBorder="1" applyAlignment="1">
      <alignment horizontal="left" vertical="center"/>
    </xf>
    <xf numFmtId="0" fontId="6" fillId="0" borderId="17" xfId="0" applyNumberFormat="1" applyFont="1" applyBorder="1" applyAlignment="1">
      <alignment horizontal="left" vertical="center"/>
    </xf>
    <xf numFmtId="0" fontId="0" fillId="0" borderId="10" xfId="0" applyNumberFormat="1" applyBorder="1" applyAlignment="1">
      <alignment horizontal="left" vertical="center"/>
    </xf>
    <xf numFmtId="0" fontId="2" fillId="0" borderId="21" xfId="1" applyNumberFormat="1" applyBorder="1" applyAlignment="1" applyProtection="1">
      <alignment horizontal="left" vertical="center"/>
    </xf>
    <xf numFmtId="0" fontId="0" fillId="0" borderId="22" xfId="0" applyNumberForma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0" fillId="0" borderId="15" xfId="0" applyNumberFormat="1" applyBorder="1" applyAlignment="1">
      <alignment horizontal="left" vertical="center"/>
    </xf>
    <xf numFmtId="0" fontId="17" fillId="0" borderId="10" xfId="0" applyNumberFormat="1" applyFont="1" applyBorder="1" applyAlignment="1">
      <alignment horizontal="left" vertical="center"/>
    </xf>
    <xf numFmtId="0" fontId="17" fillId="0" borderId="15" xfId="0" applyNumberFormat="1" applyFont="1" applyBorder="1" applyAlignment="1">
      <alignment horizontal="left" vertical="center"/>
    </xf>
    <xf numFmtId="0" fontId="17" fillId="0" borderId="17" xfId="0" applyNumberFormat="1" applyFont="1" applyBorder="1" applyAlignment="1">
      <alignment horizontal="left" vertical="center"/>
    </xf>
    <xf numFmtId="0" fontId="17" fillId="0" borderId="18" xfId="0" applyNumberFormat="1" applyFont="1" applyBorder="1" applyAlignment="1">
      <alignment horizontal="left" vertical="center"/>
    </xf>
    <xf numFmtId="0" fontId="3" fillId="0" borderId="7" xfId="0" applyNumberFormat="1" applyFont="1" applyBorder="1" applyAlignment="1">
      <alignment horizontal="center"/>
    </xf>
    <xf numFmtId="0" fontId="3" fillId="0" borderId="8" xfId="0" applyNumberFormat="1" applyFont="1" applyBorder="1" applyAlignment="1">
      <alignment horizontal="center"/>
    </xf>
    <xf numFmtId="0" fontId="3" fillId="0" borderId="9" xfId="0" applyNumberFormat="1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2" xfId="0" applyNumberFormat="1" applyFon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4" fillId="0" borderId="7" xfId="0" applyNumberFormat="1" applyFont="1" applyBorder="1" applyAlignment="1">
      <alignment horizontal="center"/>
    </xf>
    <xf numFmtId="0" fontId="4" fillId="0" borderId="8" xfId="0" applyNumberFormat="1" applyFont="1" applyBorder="1" applyAlignment="1">
      <alignment horizontal="center"/>
    </xf>
    <xf numFmtId="0" fontId="4" fillId="0" borderId="9" xfId="0" applyNumberFormat="1" applyFont="1" applyBorder="1" applyAlignment="1">
      <alignment horizontal="center"/>
    </xf>
    <xf numFmtId="0" fontId="0" fillId="0" borderId="28" xfId="0" applyNumberFormat="1" applyBorder="1" applyAlignment="1">
      <alignment horizontal="left" vertical="center"/>
    </xf>
    <xf numFmtId="0" fontId="0" fillId="0" borderId="29" xfId="0" applyNumberFormat="1" applyBorder="1" applyAlignment="1">
      <alignment horizontal="left" vertical="center"/>
    </xf>
    <xf numFmtId="0" fontId="0" fillId="0" borderId="30" xfId="0" applyNumberFormat="1" applyBorder="1" applyAlignment="1">
      <alignment horizontal="left" vertical="center"/>
    </xf>
    <xf numFmtId="0" fontId="0" fillId="0" borderId="12" xfId="0" applyNumberFormat="1" applyFont="1" applyBorder="1" applyAlignment="1">
      <alignment horizontal="left" vertical="center"/>
    </xf>
    <xf numFmtId="49" fontId="0" fillId="0" borderId="7" xfId="0" applyNumberFormat="1" applyBorder="1" applyAlignment="1">
      <alignment horizontal="left"/>
    </xf>
    <xf numFmtId="0" fontId="0" fillId="0" borderId="9" xfId="0" applyNumberFormat="1" applyBorder="1" applyAlignment="1">
      <alignment horizontal="left"/>
    </xf>
    <xf numFmtId="0" fontId="0" fillId="0" borderId="13" xfId="0" applyNumberFormat="1" applyFont="1" applyBorder="1" applyAlignment="1">
      <alignment horizontal="left" vertical="center"/>
    </xf>
    <xf numFmtId="0" fontId="8" fillId="0" borderId="26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7" fillId="0" borderId="23" xfId="0" applyFont="1" applyBorder="1" applyAlignment="1">
      <alignment horizontal="left"/>
    </xf>
    <xf numFmtId="0" fontId="7" fillId="0" borderId="24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7" fillId="0" borderId="19" xfId="0" applyFon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15" fillId="0" borderId="36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35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0" fontId="9" fillId="0" borderId="37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12"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  <dxf>
      <font>
        <b/>
        <i val="0"/>
        <color theme="0"/>
      </font>
      <fill>
        <patternFill patternType="solid">
          <fgColor auto="1"/>
          <bgColor rgb="FFC00000"/>
        </patternFill>
      </fill>
    </dxf>
    <dxf>
      <font>
        <b/>
        <i val="0"/>
        <color theme="0"/>
      </font>
      <fill>
        <patternFill>
          <bgColor rgb="FF41A709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127001</xdr:colOff>
      <xdr:row>0</xdr:row>
      <xdr:rowOff>9876</xdr:rowOff>
    </xdr:from>
    <xdr:to>
      <xdr:col>0</xdr:col>
      <xdr:colOff>1291167</xdr:colOff>
      <xdr:row>5</xdr:row>
      <xdr:rowOff>135644</xdr:rowOff>
    </xdr:to>
    <xdr:pic>
      <xdr:nvPicPr>
        <xdr:cNvPr id="1025" name="3 Imagen" descr="speaky-escaleras-macanicas-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127001" y="9876"/>
          <a:ext cx="1164166" cy="1110018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455069</xdr:colOff>
      <xdr:row>1</xdr:row>
      <xdr:rowOff>10596</xdr:rowOff>
    </xdr:from>
    <xdr:to>
      <xdr:col>6</xdr:col>
      <xdr:colOff>723886</xdr:colOff>
      <xdr:row>5</xdr:row>
      <xdr:rowOff>18004</xdr:rowOff>
    </xdr:to>
    <xdr:pic>
      <xdr:nvPicPr>
        <xdr:cNvPr id="3" name="2 Imagen" descr="kids.bmp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22319" y="211679"/>
          <a:ext cx="2152650" cy="790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194582</xdr:colOff>
      <xdr:row>13</xdr:row>
      <xdr:rowOff>138792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690632" cy="261529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127001</xdr:colOff>
      <xdr:row>0</xdr:row>
      <xdr:rowOff>0</xdr:rowOff>
    </xdr:from>
    <xdr:to>
      <xdr:col>0</xdr:col>
      <xdr:colOff>1291167</xdr:colOff>
      <xdr:row>5</xdr:row>
      <xdr:rowOff>145520</xdr:rowOff>
    </xdr:to>
    <xdr:pic>
      <xdr:nvPicPr>
        <xdr:cNvPr id="2" name="3 Imagen" descr="speaky-escaleras-macanicas-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7001" y="0"/>
          <a:ext cx="1164166" cy="1126595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127001</xdr:colOff>
      <xdr:row>0</xdr:row>
      <xdr:rowOff>8288</xdr:rowOff>
    </xdr:from>
    <xdr:to>
      <xdr:col>0</xdr:col>
      <xdr:colOff>1291167</xdr:colOff>
      <xdr:row>5</xdr:row>
      <xdr:rowOff>137231</xdr:rowOff>
    </xdr:to>
    <xdr:pic>
      <xdr:nvPicPr>
        <xdr:cNvPr id="5" name="3 Imagen" descr="speaky-escaleras-macanicas-.jpg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127001" y="8288"/>
          <a:ext cx="1164166" cy="1110018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a%20Escobar/Documents/SPEAK%20UP/SPEAK%20UP%20KIDS/STUDENTS%20DATA%20BASE%20KID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studiantes"/>
      <sheetName val="LISTAS"/>
      <sheetName val="PC TAGS"/>
    </sheetNames>
    <sheetDataSet>
      <sheetData sheetId="0"/>
      <sheetData sheetId="1">
        <row r="4">
          <cell r="E4" t="str">
            <v>3:00 A 3:50</v>
          </cell>
        </row>
        <row r="5">
          <cell r="E5" t="str">
            <v>4:00 A 4:50</v>
          </cell>
        </row>
        <row r="6">
          <cell r="E6" t="str">
            <v>5:00 A 5:50</v>
          </cell>
        </row>
        <row r="7">
          <cell r="E7" t="str">
            <v>NA</v>
          </cell>
        </row>
        <row r="8">
          <cell r="E8" t="str">
            <v>9:00 A 9:50</v>
          </cell>
        </row>
        <row r="9">
          <cell r="E9" t="str">
            <v>10:00 A 10:50</v>
          </cell>
        </row>
        <row r="10">
          <cell r="E10" t="str">
            <v>11:00 A 11:50</v>
          </cell>
        </row>
        <row r="11">
          <cell r="E11" t="str">
            <v>12:00 A 12:50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i@ggg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BB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T2"/>
  <sheetViews>
    <sheetView topLeftCell="B1" workbookViewId="0">
      <selection activeCell="C2" sqref="C2"/>
    </sheetView>
  </sheetViews>
  <sheetFormatPr baseColWidth="10" defaultRowHeight="15"/>
  <cols>
    <col min="1" max="1" width="12" style="37" bestFit="1" customWidth="1"/>
    <col min="2" max="2" width="14.85546875" style="37" bestFit="1" customWidth="1"/>
    <col min="3" max="3" width="17.85546875" bestFit="1" customWidth="1"/>
    <col min="4" max="4" width="6.85546875" bestFit="1" customWidth="1"/>
    <col min="5" max="5" width="10.140625" customWidth="1"/>
    <col min="6" max="6" width="14.85546875" customWidth="1"/>
    <col min="7" max="8" width="14" customWidth="1"/>
    <col min="9" max="10" width="10.7109375" customWidth="1"/>
    <col min="11" max="11" width="0" hidden="1" customWidth="1"/>
    <col min="12" max="14" width="8.28515625" customWidth="1"/>
    <col min="15" max="15" width="14" customWidth="1"/>
    <col min="16" max="18" width="15" customWidth="1"/>
    <col min="19" max="19" width="24.28515625" bestFit="1" customWidth="1"/>
    <col min="20" max="20" width="28" bestFit="1" customWidth="1"/>
    <col min="21" max="21" width="9.5703125" bestFit="1" customWidth="1"/>
    <col min="22" max="22" width="13" bestFit="1" customWidth="1"/>
    <col min="23" max="23" width="8.5703125" bestFit="1" customWidth="1"/>
    <col min="24" max="24" width="12" bestFit="1" customWidth="1"/>
    <col min="25" max="25" width="8" bestFit="1" customWidth="1"/>
    <col min="26" max="26" width="13.5703125" style="36" bestFit="1" customWidth="1"/>
    <col min="27" max="27" width="11.5703125" style="36" bestFit="1" customWidth="1"/>
    <col min="28" max="28" width="11" style="36" bestFit="1" customWidth="1"/>
    <col min="29" max="29" width="14.140625" bestFit="1" customWidth="1"/>
    <col min="30" max="30" width="17.85546875" bestFit="1" customWidth="1"/>
    <col min="33" max="33" width="14.140625" bestFit="1" customWidth="1"/>
    <col min="34" max="34" width="17.85546875" bestFit="1" customWidth="1"/>
    <col min="35" max="35" width="10.140625" customWidth="1"/>
    <col min="37" max="37" width="14.140625" bestFit="1" customWidth="1"/>
    <col min="38" max="38" width="17.85546875" bestFit="1" customWidth="1"/>
    <col min="41" max="41" width="14" bestFit="1" customWidth="1"/>
    <col min="42" max="42" width="12.42578125" bestFit="1" customWidth="1"/>
    <col min="44" max="44" width="13" bestFit="1" customWidth="1"/>
  </cols>
  <sheetData>
    <row r="1" spans="1:46" s="96" customFormat="1">
      <c r="A1" s="92" t="s">
        <v>119</v>
      </c>
      <c r="B1" s="93" t="s">
        <v>75</v>
      </c>
      <c r="C1" s="93" t="s">
        <v>76</v>
      </c>
      <c r="D1" s="93" t="s">
        <v>120</v>
      </c>
      <c r="E1" s="93" t="s">
        <v>86</v>
      </c>
      <c r="F1" s="93" t="s">
        <v>96</v>
      </c>
      <c r="G1" s="93" t="s">
        <v>89</v>
      </c>
      <c r="H1" s="93" t="s">
        <v>88</v>
      </c>
      <c r="I1" s="94" t="s">
        <v>78</v>
      </c>
      <c r="J1" s="97" t="s">
        <v>79</v>
      </c>
      <c r="K1" s="94" t="s">
        <v>80</v>
      </c>
      <c r="L1" s="95" t="s">
        <v>121</v>
      </c>
      <c r="M1" s="79"/>
      <c r="N1" s="79"/>
      <c r="O1" s="93" t="s">
        <v>90</v>
      </c>
      <c r="P1" s="93" t="s">
        <v>91</v>
      </c>
      <c r="Q1" s="93" t="s">
        <v>122</v>
      </c>
      <c r="R1" s="93" t="s">
        <v>123</v>
      </c>
      <c r="S1" s="93" t="s">
        <v>124</v>
      </c>
      <c r="T1" s="93" t="s">
        <v>125</v>
      </c>
      <c r="U1" s="93" t="s">
        <v>126</v>
      </c>
      <c r="V1" s="93" t="s">
        <v>84</v>
      </c>
      <c r="W1" s="93" t="s">
        <v>81</v>
      </c>
      <c r="X1" s="93" t="s">
        <v>82</v>
      </c>
      <c r="Y1" s="93" t="s">
        <v>83</v>
      </c>
      <c r="Z1" s="93" t="s">
        <v>85</v>
      </c>
      <c r="AA1" s="93" t="s">
        <v>81</v>
      </c>
      <c r="AB1" s="93" t="s">
        <v>82</v>
      </c>
      <c r="AC1" s="98" t="s">
        <v>133</v>
      </c>
      <c r="AD1" s="98" t="s">
        <v>134</v>
      </c>
      <c r="AE1" s="98" t="s">
        <v>129</v>
      </c>
      <c r="AF1" s="98" t="s">
        <v>139</v>
      </c>
      <c r="AG1" s="98" t="s">
        <v>135</v>
      </c>
      <c r="AH1" s="98" t="s">
        <v>136</v>
      </c>
      <c r="AI1" s="98" t="s">
        <v>130</v>
      </c>
      <c r="AJ1" s="98" t="s">
        <v>140</v>
      </c>
      <c r="AK1" s="98" t="s">
        <v>137</v>
      </c>
      <c r="AL1" s="98" t="s">
        <v>138</v>
      </c>
      <c r="AM1" s="98" t="s">
        <v>131</v>
      </c>
      <c r="AN1" s="98" t="s">
        <v>141</v>
      </c>
      <c r="AO1" s="98" t="s">
        <v>127</v>
      </c>
      <c r="AP1" s="98" t="s">
        <v>128</v>
      </c>
      <c r="AQ1" s="98" t="s">
        <v>77</v>
      </c>
      <c r="AR1" s="98" t="s">
        <v>85</v>
      </c>
      <c r="AS1" s="98" t="s">
        <v>81</v>
      </c>
      <c r="AT1" s="98" t="s">
        <v>82</v>
      </c>
    </row>
    <row r="2" spans="1:46" s="96" customFormat="1">
      <c r="A2" s="92" t="s">
        <v>117</v>
      </c>
      <c r="B2" s="93" t="s">
        <v>184</v>
      </c>
      <c r="C2" s="93" t="s">
        <v>185</v>
      </c>
      <c r="D2" s="93">
        <v>32</v>
      </c>
      <c r="E2" s="93" t="s">
        <v>87</v>
      </c>
      <c r="F2" s="93">
        <v>1</v>
      </c>
      <c r="G2" s="93" t="s">
        <v>155</v>
      </c>
      <c r="H2" s="93" t="s">
        <v>155</v>
      </c>
      <c r="I2" s="94">
        <v>40436</v>
      </c>
      <c r="J2" s="94">
        <v>40754</v>
      </c>
      <c r="K2" s="94">
        <f ca="1">+TODAY()</f>
        <v>40465</v>
      </c>
      <c r="L2" s="95" t="str">
        <f ca="1">+IF(K2&lt;J2,"ACTIVE","EXPIRED")</f>
        <v>ACTIVE</v>
      </c>
      <c r="M2" s="79" t="str">
        <f ca="1">+IF(L2="ACTIVE","1","0")</f>
        <v>1</v>
      </c>
      <c r="N2" s="79" t="str">
        <f ca="1">+M2</f>
        <v>1</v>
      </c>
      <c r="O2" s="93" t="s">
        <v>156</v>
      </c>
      <c r="P2" s="93" t="s">
        <v>118</v>
      </c>
      <c r="Q2" s="93" t="s">
        <v>157</v>
      </c>
      <c r="R2" s="93" t="s">
        <v>158</v>
      </c>
      <c r="S2" s="93" t="s">
        <v>182</v>
      </c>
      <c r="T2" s="93" t="s">
        <v>183</v>
      </c>
      <c r="U2" s="93">
        <v>3275333</v>
      </c>
      <c r="V2" s="93" t="s">
        <v>147</v>
      </c>
      <c r="W2" s="93">
        <v>11111</v>
      </c>
      <c r="X2" s="93">
        <v>22222</v>
      </c>
      <c r="Y2" s="106" t="s">
        <v>148</v>
      </c>
      <c r="Z2" s="93" t="s">
        <v>149</v>
      </c>
      <c r="AA2" s="93">
        <v>33333</v>
      </c>
      <c r="AB2" s="93">
        <v>4444</v>
      </c>
      <c r="AC2" s="93" t="s">
        <v>160</v>
      </c>
      <c r="AD2" s="93" t="s">
        <v>146</v>
      </c>
      <c r="AE2" s="93">
        <v>13586913</v>
      </c>
      <c r="AF2" s="93">
        <v>5555</v>
      </c>
      <c r="AG2" s="93" t="s">
        <v>161</v>
      </c>
      <c r="AH2" s="93" t="s">
        <v>153</v>
      </c>
      <c r="AI2" s="93">
        <v>14121172</v>
      </c>
      <c r="AJ2" s="93">
        <v>777</v>
      </c>
      <c r="AK2" s="93" t="s">
        <v>154</v>
      </c>
      <c r="AL2" s="93" t="s">
        <v>162</v>
      </c>
      <c r="AM2" s="93">
        <v>900000</v>
      </c>
      <c r="AN2" s="93">
        <v>32</v>
      </c>
      <c r="AO2" s="93" t="s">
        <v>150</v>
      </c>
      <c r="AP2" s="93" t="s">
        <v>151</v>
      </c>
      <c r="AQ2" s="93" t="s">
        <v>159</v>
      </c>
      <c r="AR2" s="93" t="s">
        <v>152</v>
      </c>
      <c r="AS2" s="93">
        <v>2620227</v>
      </c>
      <c r="AT2" s="93">
        <v>412351</v>
      </c>
    </row>
  </sheetData>
  <conditionalFormatting sqref="L1:O2">
    <cfRule type="containsText" dxfId="11" priority="29" operator="containsText" text="ACTIVE">
      <formula>NOT(ISERROR(SEARCH("ACTIVE",L1)))</formula>
    </cfRule>
    <cfRule type="containsText" dxfId="10" priority="30" operator="containsText" text="EXPIRED">
      <formula>NOT(ISERROR(SEARCH("EXPIRED",L1)))</formula>
    </cfRule>
  </conditionalFormatting>
  <conditionalFormatting sqref="L2:N2">
    <cfRule type="containsText" dxfId="9" priority="9" operator="containsText" text="ACTIVE">
      <formula>NOT(ISERROR(SEARCH("ACTIVE",L2)))</formula>
    </cfRule>
    <cfRule type="containsText" dxfId="8" priority="10" operator="containsText" text="EXPIRED">
      <formula>NOT(ISERROR(SEARCH("EXPIRED",L2)))</formula>
    </cfRule>
  </conditionalFormatting>
  <conditionalFormatting sqref="L2:N2">
    <cfRule type="containsText" dxfId="7" priority="7" operator="containsText" text="ACTIVE">
      <formula>NOT(ISERROR(SEARCH("ACTIVE",L2)))</formula>
    </cfRule>
    <cfRule type="containsText" dxfId="6" priority="8" operator="containsText" text="EXPIRED">
      <formula>NOT(ISERROR(SEARCH("EXPIRED",L2)))</formula>
    </cfRule>
  </conditionalFormatting>
  <conditionalFormatting sqref="L2:N2">
    <cfRule type="containsText" dxfId="5" priority="5" operator="containsText" text="ACTIVE">
      <formula>NOT(ISERROR(SEARCH("ACTIVE",L2)))</formula>
    </cfRule>
    <cfRule type="containsText" dxfId="4" priority="6" operator="containsText" text="EXPIRED">
      <formula>NOT(ISERROR(SEARCH("EXPIRED",L2)))</formula>
    </cfRule>
  </conditionalFormatting>
  <conditionalFormatting sqref="L2:N2">
    <cfRule type="containsText" dxfId="3" priority="3" operator="containsText" text="ACTIVE">
      <formula>NOT(ISERROR(SEARCH("ACTIVE",L2)))</formula>
    </cfRule>
    <cfRule type="containsText" dxfId="2" priority="4" operator="containsText" text="EXPIRED">
      <formula>NOT(ISERROR(SEARCH("EXPIRED",L2)))</formula>
    </cfRule>
  </conditionalFormatting>
  <conditionalFormatting sqref="L2:N2">
    <cfRule type="containsText" dxfId="1" priority="1" operator="containsText" text="ACTIVE">
      <formula>NOT(ISERROR(SEARCH("ACTIVE",L2)))</formula>
    </cfRule>
    <cfRule type="containsText" dxfId="0" priority="2" operator="containsText" text="EXPIRED">
      <formula>NOT(ISERROR(SEARCH("EXPIRED",L2)))</formula>
    </cfRule>
  </conditionalFormatting>
  <dataValidations count="6">
    <dataValidation type="list" allowBlank="1" showInputMessage="1" showErrorMessage="1" sqref="E2">
      <formula1>PROGRAMS</formula1>
    </dataValidation>
    <dataValidation type="list" allowBlank="1" showInputMessage="1" showErrorMessage="1" sqref="G2:H2">
      <formula1>LEVELS</formula1>
    </dataValidation>
    <dataValidation type="list" allowBlank="1" showInputMessage="1" showErrorMessage="1" sqref="O2">
      <formula1>LOCATION</formula1>
    </dataValidation>
    <dataValidation type="list" allowBlank="1" showInputMessage="1" showErrorMessage="1" sqref="P2">
      <formula1>ACCESS</formula1>
    </dataValidation>
    <dataValidation type="list" allowBlank="1" showInputMessage="1" showErrorMessage="1" sqref="Q2">
      <formula1>WEEKDAYS</formula1>
    </dataValidation>
    <dataValidation type="list" allowBlank="1" showInputMessage="1" showErrorMessage="1" sqref="R2">
      <formula1>SATURDAY</formula1>
    </dataValidation>
  </dataValidations>
  <hyperlinks>
    <hyperlink ref="Y2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G59"/>
  <sheetViews>
    <sheetView zoomScale="90" zoomScaleNormal="90" workbookViewId="0">
      <selection activeCell="D3" sqref="D3"/>
    </sheetView>
  </sheetViews>
  <sheetFormatPr baseColWidth="10" defaultRowHeight="15"/>
  <cols>
    <col min="1" max="1" width="22.28515625" style="41" customWidth="1"/>
    <col min="2" max="2" width="14" style="41" customWidth="1"/>
    <col min="3" max="3" width="15.5703125" style="41" customWidth="1"/>
    <col min="4" max="4" width="18.28515625" style="41" customWidth="1"/>
    <col min="5" max="5" width="14.85546875" style="41" customWidth="1"/>
    <col min="6" max="6" width="13.28515625" style="41" customWidth="1"/>
    <col min="7" max="7" width="17.28515625" style="41" bestFit="1" customWidth="1"/>
    <col min="8" max="8" width="14.5703125" style="41" customWidth="1"/>
    <col min="9" max="9" width="16.28515625" style="41" bestFit="1" customWidth="1"/>
    <col min="10" max="11" width="11.42578125" style="41"/>
    <col min="12" max="12" width="18.140625" style="41" bestFit="1" customWidth="1"/>
    <col min="13" max="16384" width="11.42578125" style="41"/>
  </cols>
  <sheetData>
    <row r="1" spans="1:7" ht="15.75">
      <c r="B1" s="85" t="s">
        <v>102</v>
      </c>
    </row>
    <row r="2" spans="1:7" ht="15.75">
      <c r="B2" s="86" t="s">
        <v>103</v>
      </c>
    </row>
    <row r="3" spans="1:7">
      <c r="B3" t="s">
        <v>163</v>
      </c>
    </row>
    <row r="4" spans="1:7">
      <c r="B4" t="s">
        <v>164</v>
      </c>
    </row>
    <row r="5" spans="1:7" s="67" customFormat="1" ht="15.75">
      <c r="B5" s="84" t="s">
        <v>145</v>
      </c>
    </row>
    <row r="7" spans="1:7" ht="15.75" thickBot="1">
      <c r="A7" s="83"/>
    </row>
    <row r="8" spans="1:7" ht="27" thickBot="1">
      <c r="A8" s="153" t="s">
        <v>22</v>
      </c>
      <c r="B8" s="154"/>
      <c r="C8" s="154"/>
      <c r="D8" s="154"/>
      <c r="E8" s="154"/>
      <c r="F8" s="154"/>
      <c r="G8" s="155"/>
    </row>
    <row r="9" spans="1:7" ht="15.75" thickBot="1"/>
    <row r="10" spans="1:7" ht="15.75" thickBot="1">
      <c r="E10" s="42" t="s">
        <v>8</v>
      </c>
      <c r="F10" s="160" t="str">
        <f>+'DATA BASE'!A2</f>
        <v>0001-1</v>
      </c>
      <c r="G10" s="161"/>
    </row>
    <row r="11" spans="1:7" ht="15.75" thickBot="1"/>
    <row r="12" spans="1:7" ht="15.75" thickBot="1">
      <c r="A12" s="150" t="s">
        <v>19</v>
      </c>
      <c r="B12" s="151"/>
      <c r="C12" s="151"/>
      <c r="D12" s="151"/>
      <c r="E12" s="151"/>
      <c r="F12" s="151"/>
      <c r="G12" s="152"/>
    </row>
    <row r="13" spans="1:7">
      <c r="A13" s="43" t="s">
        <v>23</v>
      </c>
      <c r="B13" s="134" t="str">
        <f>+'DATA BASE'!B2</f>
        <v xml:space="preserve">Camilo </v>
      </c>
      <c r="C13" s="159"/>
      <c r="D13" s="87" t="s">
        <v>24</v>
      </c>
      <c r="E13" s="134" t="str">
        <f>+'DATA BASE'!C2</f>
        <v>Medina</v>
      </c>
      <c r="F13" s="159"/>
      <c r="G13" s="162"/>
    </row>
    <row r="14" spans="1:7" ht="15.75" thickBot="1">
      <c r="A14" s="45" t="s">
        <v>132</v>
      </c>
      <c r="B14" s="145">
        <f>+'DATA BASE'!D2</f>
        <v>32</v>
      </c>
      <c r="C14" s="145"/>
      <c r="D14" s="145"/>
      <c r="E14" s="145"/>
      <c r="F14" s="145"/>
      <c r="G14" s="146"/>
    </row>
    <row r="15" spans="1:7" ht="15.75" thickBot="1">
      <c r="B15" s="46"/>
    </row>
    <row r="16" spans="1:7" ht="15.75" thickBot="1">
      <c r="A16" s="147" t="s">
        <v>21</v>
      </c>
      <c r="B16" s="148"/>
      <c r="C16" s="148"/>
      <c r="D16" s="148"/>
      <c r="E16" s="148"/>
      <c r="F16" s="148"/>
      <c r="G16" s="149"/>
    </row>
    <row r="17" spans="1:7">
      <c r="A17" s="43" t="s">
        <v>23</v>
      </c>
      <c r="B17" s="134" t="str">
        <f>+'DATA BASE'!S2</f>
        <v xml:space="preserve">Mia </v>
      </c>
      <c r="C17" s="134"/>
      <c r="D17" s="101" t="s">
        <v>24</v>
      </c>
      <c r="E17" s="156" t="str">
        <f>+'DATA BASE'!T2</f>
        <v>Escobar Cornett</v>
      </c>
      <c r="F17" s="157"/>
      <c r="G17" s="158"/>
    </row>
    <row r="18" spans="1:7" ht="15.75">
      <c r="A18" s="44" t="s">
        <v>63</v>
      </c>
      <c r="B18" s="128">
        <f>+'DATA BASE'!U2</f>
        <v>3275333</v>
      </c>
      <c r="C18" s="129"/>
      <c r="D18" s="129"/>
      <c r="E18" s="129"/>
      <c r="F18" s="129"/>
      <c r="G18" s="130"/>
    </row>
    <row r="19" spans="1:7">
      <c r="A19" s="44" t="s">
        <v>0</v>
      </c>
      <c r="B19" s="131" t="str">
        <f>+'DATA BASE'!V2</f>
        <v>el paraiso</v>
      </c>
      <c r="C19" s="132"/>
      <c r="D19" s="132"/>
      <c r="E19" s="132"/>
      <c r="F19" s="132"/>
      <c r="G19" s="133"/>
    </row>
    <row r="20" spans="1:7">
      <c r="A20" s="44" t="s">
        <v>25</v>
      </c>
      <c r="B20" s="138">
        <f>+'DATA BASE'!W2</f>
        <v>11111</v>
      </c>
      <c r="C20" s="138"/>
      <c r="D20" s="102" t="s">
        <v>37</v>
      </c>
      <c r="E20" s="131">
        <f>+'DATA BASE'!X2</f>
        <v>22222</v>
      </c>
      <c r="F20" s="132"/>
      <c r="G20" s="133"/>
    </row>
    <row r="21" spans="1:7">
      <c r="A21" s="44" t="s">
        <v>1</v>
      </c>
      <c r="B21" s="131" t="str">
        <f>+'DATA BASE'!Z2</f>
        <v>chacao</v>
      </c>
      <c r="C21" s="132"/>
      <c r="D21" s="132"/>
      <c r="E21" s="132"/>
      <c r="F21" s="132"/>
      <c r="G21" s="133"/>
    </row>
    <row r="22" spans="1:7">
      <c r="A22" s="44" t="s">
        <v>25</v>
      </c>
      <c r="B22" s="138">
        <f>+'DATA BASE'!AA2</f>
        <v>33333</v>
      </c>
      <c r="C22" s="138"/>
      <c r="D22" s="102" t="s">
        <v>38</v>
      </c>
      <c r="E22" s="131">
        <f>+'DATA BASE'!AB2</f>
        <v>4444</v>
      </c>
      <c r="F22" s="132"/>
      <c r="G22" s="133"/>
    </row>
    <row r="23" spans="1:7" ht="15.75" thickBot="1">
      <c r="A23" s="45" t="s">
        <v>93</v>
      </c>
      <c r="B23" s="139" t="str">
        <f>+'DATA BASE'!Y2</f>
        <v>mi@ggg.com</v>
      </c>
      <c r="C23" s="140"/>
      <c r="D23" s="140"/>
      <c r="E23" s="140"/>
      <c r="F23" s="140"/>
      <c r="G23" s="141"/>
    </row>
    <row r="24" spans="1:7" ht="15.75" thickBot="1">
      <c r="B24" s="46"/>
    </row>
    <row r="25" spans="1:7" ht="15.75" thickBot="1">
      <c r="A25" s="147" t="s">
        <v>105</v>
      </c>
      <c r="B25" s="148"/>
      <c r="C25" s="148"/>
      <c r="D25" s="148"/>
      <c r="E25" s="148"/>
      <c r="F25" s="148"/>
      <c r="G25" s="149"/>
    </row>
    <row r="26" spans="1:7">
      <c r="A26" s="43" t="s">
        <v>23</v>
      </c>
      <c r="B26" s="134" t="str">
        <f>+'DATA BASE'!AC2</f>
        <v>pachio</v>
      </c>
      <c r="C26" s="134"/>
      <c r="D26" s="90" t="s">
        <v>24</v>
      </c>
      <c r="E26" s="134" t="str">
        <f>+'DATA BASE'!AD2</f>
        <v>cornett</v>
      </c>
      <c r="F26" s="134"/>
      <c r="G26" s="135"/>
    </row>
    <row r="27" spans="1:7" ht="15.75">
      <c r="A27" s="44" t="s">
        <v>63</v>
      </c>
      <c r="B27" s="143">
        <f>+'DATA BASE'!AE2</f>
        <v>13586913</v>
      </c>
      <c r="C27" s="143"/>
      <c r="D27" s="88" t="s">
        <v>25</v>
      </c>
      <c r="E27" s="138">
        <f>+'DATA BASE'!AF2</f>
        <v>5555</v>
      </c>
      <c r="F27" s="138"/>
      <c r="G27" s="142"/>
    </row>
    <row r="28" spans="1:7" ht="15.75">
      <c r="A28" s="44" t="s">
        <v>23</v>
      </c>
      <c r="B28" s="136" t="str">
        <f>+'DATA BASE'!AG2</f>
        <v>papi</v>
      </c>
      <c r="C28" s="136"/>
      <c r="D28" s="91" t="s">
        <v>24</v>
      </c>
      <c r="E28" s="138" t="str">
        <f>+'DATA BASE'!AH2</f>
        <v>medina</v>
      </c>
      <c r="F28" s="138"/>
      <c r="G28" s="142"/>
    </row>
    <row r="29" spans="1:7" ht="15.75">
      <c r="A29" s="44" t="s">
        <v>63</v>
      </c>
      <c r="B29" s="136">
        <f>+'DATA BASE'!AI2</f>
        <v>14121172</v>
      </c>
      <c r="C29" s="136"/>
      <c r="D29" s="88" t="s">
        <v>25</v>
      </c>
      <c r="E29" s="143">
        <f>+'DATA BASE'!AJ2</f>
        <v>777</v>
      </c>
      <c r="F29" s="143"/>
      <c r="G29" s="144"/>
    </row>
    <row r="30" spans="1:7" ht="15.75">
      <c r="A30" s="44" t="s">
        <v>23</v>
      </c>
      <c r="B30" s="136" t="str">
        <f>+'DATA BASE'!AK2</f>
        <v>miguel</v>
      </c>
      <c r="C30" s="136"/>
      <c r="D30" s="91" t="s">
        <v>24</v>
      </c>
      <c r="E30" s="138" t="str">
        <f>+'DATA BASE'!AL2</f>
        <v>medinaa</v>
      </c>
      <c r="F30" s="138"/>
      <c r="G30" s="142"/>
    </row>
    <row r="31" spans="1:7" ht="16.5" thickBot="1">
      <c r="A31" s="45" t="s">
        <v>63</v>
      </c>
      <c r="B31" s="137">
        <f>+'DATA BASE'!AM2</f>
        <v>900000</v>
      </c>
      <c r="C31" s="137"/>
      <c r="D31" s="89" t="s">
        <v>25</v>
      </c>
      <c r="E31" s="145">
        <f>+'DATA BASE'!AN2</f>
        <v>32</v>
      </c>
      <c r="F31" s="145"/>
      <c r="G31" s="146"/>
    </row>
    <row r="32" spans="1:7" customFormat="1" ht="15.75" thickBot="1"/>
    <row r="33" spans="1:7" s="67" customFormat="1" ht="15.75" thickBot="1">
      <c r="A33" s="147" t="s">
        <v>20</v>
      </c>
      <c r="B33" s="148"/>
      <c r="C33" s="148"/>
      <c r="D33" s="148"/>
      <c r="E33" s="148"/>
      <c r="F33" s="148"/>
      <c r="G33" s="149"/>
    </row>
    <row r="34" spans="1:7">
      <c r="A34" s="47" t="s">
        <v>2</v>
      </c>
      <c r="B34" s="99" t="str">
        <f>+'DATA BASE'!E2</f>
        <v>ENGLISH</v>
      </c>
      <c r="C34" s="49"/>
      <c r="D34" s="48" t="s">
        <v>142</v>
      </c>
      <c r="E34" s="50"/>
      <c r="F34" s="49" t="str">
        <f>+'DATA BASE'!P2</f>
        <v>VIERNES Y SÁBADOS</v>
      </c>
      <c r="G34" s="51"/>
    </row>
    <row r="35" spans="1:7">
      <c r="A35" s="52" t="s">
        <v>3</v>
      </c>
      <c r="B35" s="53">
        <f>+'DATA BASE'!F2</f>
        <v>1</v>
      </c>
      <c r="C35" s="54"/>
      <c r="D35" s="55" t="s">
        <v>30</v>
      </c>
      <c r="E35" s="56"/>
      <c r="F35" s="57" t="str">
        <f>+'DATA BASE'!Q2</f>
        <v>5:00 A 5:50</v>
      </c>
      <c r="G35" s="58" t="str">
        <f>+'DATA BASE'!R2</f>
        <v>11:00 A 11:50</v>
      </c>
    </row>
    <row r="36" spans="1:7">
      <c r="A36" s="52" t="s">
        <v>4</v>
      </c>
      <c r="B36" s="53" t="str">
        <f>+'DATA BASE'!G2</f>
        <v>SMILE 1</v>
      </c>
      <c r="C36" s="54"/>
      <c r="D36" s="59" t="s">
        <v>35</v>
      </c>
      <c r="F36" s="60"/>
      <c r="G36" s="61"/>
    </row>
    <row r="37" spans="1:7">
      <c r="A37" s="52" t="s">
        <v>92</v>
      </c>
      <c r="B37" s="53" t="str">
        <f>+'DATA BASE'!H2</f>
        <v>SMILE 1</v>
      </c>
      <c r="C37" s="54"/>
      <c r="D37" s="59"/>
      <c r="G37" s="62"/>
    </row>
    <row r="38" spans="1:7">
      <c r="A38" s="52" t="s">
        <v>6</v>
      </c>
      <c r="B38" s="2">
        <f>+'DATA BASE'!I2</f>
        <v>40436</v>
      </c>
      <c r="C38" s="54"/>
      <c r="D38" s="59"/>
      <c r="G38" s="63"/>
    </row>
    <row r="39" spans="1:7" ht="15.75" thickBot="1">
      <c r="A39" s="74" t="s">
        <v>7</v>
      </c>
      <c r="B39" s="40">
        <f>+'DATA BASE'!J2</f>
        <v>40754</v>
      </c>
      <c r="C39" s="75"/>
      <c r="D39" s="76"/>
      <c r="E39" s="77"/>
      <c r="F39" s="77"/>
      <c r="G39" s="78"/>
    </row>
    <row r="40" spans="1:7" ht="15.75" thickBot="1">
      <c r="A40" s="64"/>
      <c r="C40" s="65"/>
    </row>
    <row r="41" spans="1:7" ht="15.75" thickBot="1">
      <c r="A41" s="150" t="s">
        <v>39</v>
      </c>
      <c r="B41" s="151"/>
      <c r="C41" s="151"/>
      <c r="D41" s="152"/>
      <c r="E41" s="100"/>
      <c r="F41" s="100"/>
      <c r="G41" s="100"/>
    </row>
    <row r="42" spans="1:7">
      <c r="A42" s="66" t="s">
        <v>14</v>
      </c>
      <c r="B42" s="103">
        <v>12</v>
      </c>
      <c r="C42" s="104" t="s">
        <v>95</v>
      </c>
      <c r="D42" s="105" t="s">
        <v>94</v>
      </c>
    </row>
    <row r="43" spans="1:7">
      <c r="A43" s="68" t="s">
        <v>143</v>
      </c>
      <c r="B43" s="70">
        <v>320</v>
      </c>
      <c r="C43" s="70"/>
      <c r="D43" s="69"/>
    </row>
    <row r="44" spans="1:7">
      <c r="A44" s="68" t="s">
        <v>144</v>
      </c>
      <c r="B44" s="70">
        <v>245</v>
      </c>
      <c r="C44" s="70"/>
      <c r="D44" s="69"/>
    </row>
    <row r="45" spans="1:7">
      <c r="A45" s="68" t="s">
        <v>106</v>
      </c>
      <c r="B45" s="70">
        <v>320</v>
      </c>
      <c r="C45" s="108">
        <v>40436</v>
      </c>
      <c r="D45" s="69"/>
    </row>
    <row r="46" spans="1:7">
      <c r="A46" s="68" t="s">
        <v>107</v>
      </c>
      <c r="B46" s="70">
        <v>320</v>
      </c>
      <c r="C46" s="108">
        <v>40452</v>
      </c>
      <c r="D46" s="69"/>
    </row>
    <row r="47" spans="1:7">
      <c r="A47" s="68" t="s">
        <v>108</v>
      </c>
      <c r="B47" s="70">
        <v>320</v>
      </c>
      <c r="C47" s="108">
        <v>40483</v>
      </c>
      <c r="D47" s="69"/>
    </row>
    <row r="48" spans="1:7">
      <c r="A48" s="68" t="s">
        <v>109</v>
      </c>
      <c r="B48" s="70">
        <v>320</v>
      </c>
      <c r="C48" s="108">
        <v>40513</v>
      </c>
      <c r="D48" s="69"/>
    </row>
    <row r="49" spans="1:5">
      <c r="A49" s="68" t="s">
        <v>110</v>
      </c>
      <c r="B49" s="70">
        <v>320</v>
      </c>
      <c r="C49" s="108">
        <v>40558</v>
      </c>
      <c r="D49" s="69"/>
    </row>
    <row r="50" spans="1:5">
      <c r="A50" s="68" t="s">
        <v>111</v>
      </c>
      <c r="B50" s="70">
        <v>320</v>
      </c>
      <c r="C50" s="108">
        <v>40575</v>
      </c>
      <c r="D50" s="69"/>
    </row>
    <row r="51" spans="1:5">
      <c r="A51" s="68" t="s">
        <v>112</v>
      </c>
      <c r="B51" s="70">
        <v>320</v>
      </c>
      <c r="C51" s="108">
        <v>40603</v>
      </c>
      <c r="D51" s="69"/>
    </row>
    <row r="52" spans="1:5">
      <c r="A52" s="68" t="s">
        <v>113</v>
      </c>
      <c r="B52" s="70">
        <v>320</v>
      </c>
      <c r="C52" s="108">
        <v>40634</v>
      </c>
      <c r="D52" s="69"/>
    </row>
    <row r="53" spans="1:5">
      <c r="A53" s="68" t="s">
        <v>114</v>
      </c>
      <c r="B53" s="70">
        <v>320</v>
      </c>
      <c r="C53" s="108">
        <v>40664</v>
      </c>
      <c r="D53" s="69"/>
    </row>
    <row r="54" spans="1:5">
      <c r="A54" s="68" t="s">
        <v>115</v>
      </c>
      <c r="B54" s="70">
        <v>320</v>
      </c>
      <c r="C54" s="108">
        <v>40695</v>
      </c>
      <c r="D54" s="69"/>
    </row>
    <row r="55" spans="1:5" ht="15.75" thickBot="1">
      <c r="A55" s="71" t="s">
        <v>116</v>
      </c>
      <c r="B55" s="73">
        <v>320</v>
      </c>
      <c r="C55" s="109">
        <v>40725</v>
      </c>
      <c r="D55" s="72"/>
    </row>
    <row r="57" spans="1:5">
      <c r="A57" s="107"/>
    </row>
    <row r="59" spans="1:5">
      <c r="A59" s="41" t="s">
        <v>101</v>
      </c>
      <c r="E59" s="41" t="s">
        <v>100</v>
      </c>
    </row>
  </sheetData>
  <mergeCells count="32">
    <mergeCell ref="A8:G8"/>
    <mergeCell ref="A12:G12"/>
    <mergeCell ref="A16:G16"/>
    <mergeCell ref="E17:G17"/>
    <mergeCell ref="B17:C17"/>
    <mergeCell ref="B13:C13"/>
    <mergeCell ref="F10:G10"/>
    <mergeCell ref="E13:G13"/>
    <mergeCell ref="B14:G14"/>
    <mergeCell ref="E31:G31"/>
    <mergeCell ref="A25:G25"/>
    <mergeCell ref="B26:C26"/>
    <mergeCell ref="A41:D41"/>
    <mergeCell ref="B27:C27"/>
    <mergeCell ref="E27:G27"/>
    <mergeCell ref="A33:G33"/>
    <mergeCell ref="B18:G18"/>
    <mergeCell ref="B19:G19"/>
    <mergeCell ref="E26:G26"/>
    <mergeCell ref="B29:C29"/>
    <mergeCell ref="B31:C31"/>
    <mergeCell ref="B28:C28"/>
    <mergeCell ref="B30:C30"/>
    <mergeCell ref="E20:G20"/>
    <mergeCell ref="B21:G21"/>
    <mergeCell ref="E22:G22"/>
    <mergeCell ref="B20:C20"/>
    <mergeCell ref="B22:C22"/>
    <mergeCell ref="B23:G23"/>
    <mergeCell ref="E28:G28"/>
    <mergeCell ref="E29:G29"/>
    <mergeCell ref="E30:G30"/>
  </mergeCells>
  <hyperlinks>
    <hyperlink ref="B23" r:id="rId1" display="BBB@HOTMAIL.COM"/>
  </hyperlinks>
  <pageMargins left="0.53" right="0.33" top="0.74803149606299213" bottom="0.74803149606299213" header="0.31496062992125984" footer="0.31496062992125984"/>
  <pageSetup paperSize="9" scale="80" orientation="portrait" horizontalDpi="300" verticalDpi="30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3:M34"/>
  <sheetViews>
    <sheetView workbookViewId="0">
      <selection activeCell="B5" sqref="B5"/>
    </sheetView>
  </sheetViews>
  <sheetFormatPr baseColWidth="10" defaultRowHeight="12.75"/>
  <cols>
    <col min="1" max="1" width="18.5703125" style="3" customWidth="1"/>
    <col min="2" max="2" width="17.42578125" style="3" customWidth="1"/>
    <col min="3" max="3" width="7.140625" style="3" customWidth="1"/>
    <col min="4" max="7" width="11.42578125" style="3"/>
    <col min="8" max="9" width="11.5703125" style="3" customWidth="1"/>
    <col min="10" max="10" width="14.42578125" style="3" customWidth="1"/>
    <col min="11" max="12" width="11.42578125" style="3"/>
    <col min="13" max="13" width="0" style="3" hidden="1" customWidth="1"/>
    <col min="14" max="16384" width="11.42578125" style="3"/>
  </cols>
  <sheetData>
    <row r="3" spans="1:13">
      <c r="G3" s="4"/>
      <c r="H3" s="4"/>
      <c r="I3" s="4"/>
      <c r="J3" s="4"/>
      <c r="K3" s="4"/>
      <c r="M3" s="3" t="s">
        <v>61</v>
      </c>
    </row>
    <row r="4" spans="1:13" ht="14.25" customHeight="1">
      <c r="G4" s="4"/>
      <c r="H4" s="5" t="s">
        <v>40</v>
      </c>
      <c r="I4" s="6"/>
      <c r="J4" s="7">
        <f ca="1">TODAY()</f>
        <v>40465</v>
      </c>
      <c r="K4" s="4"/>
      <c r="M4" s="3" t="s">
        <v>62</v>
      </c>
    </row>
    <row r="5" spans="1:13" ht="20.25" customHeight="1">
      <c r="G5" s="4"/>
      <c r="H5" s="163" t="s">
        <v>41</v>
      </c>
      <c r="I5" s="163"/>
      <c r="J5" s="163"/>
      <c r="K5" s="4"/>
    </row>
    <row r="7" spans="1:13">
      <c r="A7" s="164" t="s">
        <v>42</v>
      </c>
      <c r="B7" s="165"/>
      <c r="C7" s="166" t="str">
        <f>+'DATA BASE'!AO2</f>
        <v>speak up</v>
      </c>
      <c r="D7" s="166"/>
      <c r="E7" s="166"/>
      <c r="F7" s="166" t="str">
        <f>+'DATA BASE'!AP2</f>
        <v>ca</v>
      </c>
      <c r="G7" s="166"/>
      <c r="H7" s="167"/>
      <c r="I7" s="8" t="s">
        <v>43</v>
      </c>
      <c r="J7" s="9" t="str">
        <f>+'DATA BASE'!AQ2</f>
        <v>j296439010</v>
      </c>
      <c r="K7" s="10"/>
    </row>
    <row r="8" spans="1:13">
      <c r="A8" s="11" t="s">
        <v>44</v>
      </c>
      <c r="B8" s="166" t="str">
        <f>+'DATA BASE'!AR2</f>
        <v>bayside</v>
      </c>
      <c r="C8" s="166"/>
      <c r="D8" s="166"/>
      <c r="E8" s="166"/>
      <c r="F8" s="166"/>
      <c r="G8" s="166"/>
      <c r="H8" s="166"/>
      <c r="I8" s="166"/>
      <c r="J8" s="167"/>
    </row>
    <row r="9" spans="1:13">
      <c r="A9" s="8" t="s">
        <v>45</v>
      </c>
      <c r="B9" s="8" t="s">
        <v>38</v>
      </c>
      <c r="C9" s="4"/>
      <c r="D9" s="11" t="s">
        <v>46</v>
      </c>
      <c r="E9" s="12"/>
      <c r="F9" s="33" t="s">
        <v>64</v>
      </c>
      <c r="G9" s="8" t="s">
        <v>47</v>
      </c>
      <c r="H9" s="13">
        <f ca="1">+J4</f>
        <v>40465</v>
      </c>
      <c r="I9" s="168" t="s">
        <v>48</v>
      </c>
      <c r="J9" s="168"/>
    </row>
    <row r="10" spans="1:13">
      <c r="A10" s="35">
        <f>+'DATA BASE'!AS2</f>
        <v>2620227</v>
      </c>
      <c r="B10" s="35">
        <f>+'DATA BASE'!AT2</f>
        <v>412351</v>
      </c>
      <c r="C10" s="4"/>
      <c r="D10" s="4"/>
      <c r="E10" s="4"/>
      <c r="F10" s="4"/>
      <c r="G10" s="8" t="s">
        <v>49</v>
      </c>
      <c r="H10" s="13">
        <f ca="1">+H9</f>
        <v>40465</v>
      </c>
      <c r="I10" s="169" t="s">
        <v>61</v>
      </c>
      <c r="J10" s="170"/>
    </row>
    <row r="11" spans="1:13">
      <c r="A11" s="14"/>
      <c r="B11" s="4"/>
      <c r="C11" s="4"/>
      <c r="D11" s="4"/>
      <c r="E11" s="4"/>
      <c r="F11" s="4"/>
      <c r="G11" s="4"/>
      <c r="H11" s="4"/>
      <c r="I11" s="4"/>
      <c r="J11" s="15"/>
    </row>
    <row r="12" spans="1:13" ht="12.75" customHeight="1">
      <c r="A12" s="174" t="s">
        <v>50</v>
      </c>
      <c r="B12" s="175"/>
      <c r="C12" s="175"/>
      <c r="D12" s="175"/>
      <c r="E12" s="175"/>
      <c r="F12" s="175"/>
      <c r="G12" s="176"/>
      <c r="H12" s="180" t="s">
        <v>51</v>
      </c>
      <c r="I12" s="181" t="s">
        <v>52</v>
      </c>
      <c r="J12" s="181" t="s">
        <v>53</v>
      </c>
    </row>
    <row r="13" spans="1:13">
      <c r="A13" s="177"/>
      <c r="B13" s="178"/>
      <c r="C13" s="178"/>
      <c r="D13" s="178"/>
      <c r="E13" s="178"/>
      <c r="F13" s="178"/>
      <c r="G13" s="179"/>
      <c r="H13" s="180"/>
      <c r="I13" s="181" t="s">
        <v>54</v>
      </c>
      <c r="J13" s="181" t="s">
        <v>55</v>
      </c>
    </row>
    <row r="14" spans="1:13" ht="18.75" customHeight="1">
      <c r="A14" s="182"/>
      <c r="B14" s="183"/>
      <c r="C14" s="183"/>
      <c r="D14" s="183"/>
      <c r="E14" s="183"/>
      <c r="F14" s="183"/>
      <c r="G14" s="183"/>
      <c r="H14" s="4"/>
      <c r="I14" s="4"/>
      <c r="J14" s="15"/>
    </row>
    <row r="15" spans="1:13" ht="12.75" customHeight="1">
      <c r="A15" s="14" t="s">
        <v>165</v>
      </c>
      <c r="B15" s="16"/>
      <c r="C15" s="17" t="s">
        <v>104</v>
      </c>
      <c r="D15" s="17"/>
      <c r="E15" s="17"/>
      <c r="F15" s="4"/>
      <c r="G15" s="4"/>
      <c r="H15" s="18">
        <v>1</v>
      </c>
      <c r="I15" s="19">
        <v>320</v>
      </c>
      <c r="J15" s="20">
        <f t="shared" ref="J15:J21" si="0">H15*I15</f>
        <v>320</v>
      </c>
    </row>
    <row r="16" spans="1:13" ht="15">
      <c r="A16" t="s">
        <v>166</v>
      </c>
      <c r="B16" s="16"/>
      <c r="C16" s="4"/>
      <c r="D16" s="4"/>
      <c r="E16" s="4"/>
      <c r="F16" s="4"/>
      <c r="G16" s="4"/>
      <c r="H16" s="18"/>
      <c r="I16" s="19"/>
      <c r="J16" s="20">
        <f t="shared" si="0"/>
        <v>0</v>
      </c>
    </row>
    <row r="17" spans="1:10">
      <c r="A17" s="14" t="s">
        <v>167</v>
      </c>
      <c r="B17" s="16"/>
      <c r="C17" s="4"/>
      <c r="D17" s="4"/>
      <c r="E17" s="4"/>
      <c r="F17" s="4"/>
      <c r="G17" s="4"/>
      <c r="H17" s="18"/>
      <c r="I17" s="19"/>
      <c r="J17" s="20">
        <f t="shared" si="0"/>
        <v>0</v>
      </c>
    </row>
    <row r="18" spans="1:10">
      <c r="A18" s="14"/>
      <c r="B18" s="16"/>
      <c r="C18" s="4"/>
      <c r="D18" s="4"/>
      <c r="E18" s="4"/>
      <c r="F18" s="4"/>
      <c r="G18" s="4"/>
      <c r="H18" s="18"/>
      <c r="I18" s="19"/>
      <c r="J18" s="20">
        <f t="shared" si="0"/>
        <v>0</v>
      </c>
    </row>
    <row r="19" spans="1:10">
      <c r="A19" s="21"/>
      <c r="B19" s="16"/>
      <c r="C19" s="4"/>
      <c r="D19" s="4"/>
      <c r="E19" s="4"/>
      <c r="F19" s="4"/>
      <c r="G19" s="4"/>
      <c r="H19" s="18"/>
      <c r="I19" s="19"/>
      <c r="J19" s="20">
        <f t="shared" si="0"/>
        <v>0</v>
      </c>
    </row>
    <row r="20" spans="1:10">
      <c r="A20" s="14"/>
      <c r="B20" s="4"/>
      <c r="C20" s="4"/>
      <c r="D20" s="4"/>
      <c r="E20" s="4"/>
      <c r="F20" s="4"/>
      <c r="G20" s="4"/>
      <c r="H20" s="4"/>
      <c r="I20" s="19"/>
      <c r="J20" s="20">
        <f t="shared" si="0"/>
        <v>0</v>
      </c>
    </row>
    <row r="21" spans="1:10">
      <c r="A21" s="14"/>
      <c r="B21" s="4"/>
      <c r="C21" s="18"/>
      <c r="D21" s="184"/>
      <c r="E21" s="184"/>
      <c r="F21" s="184"/>
      <c r="G21" s="4"/>
      <c r="H21" s="18"/>
      <c r="I21" s="19"/>
      <c r="J21" s="20">
        <f t="shared" si="0"/>
        <v>0</v>
      </c>
    </row>
    <row r="22" spans="1:10">
      <c r="A22" s="14"/>
      <c r="B22" s="4"/>
      <c r="C22" s="18"/>
      <c r="D22" s="184"/>
      <c r="E22" s="184"/>
      <c r="F22" s="184"/>
      <c r="G22" s="4"/>
      <c r="H22" s="22"/>
      <c r="I22" s="19"/>
      <c r="J22" s="23"/>
    </row>
    <row r="23" spans="1:10">
      <c r="A23" s="21"/>
      <c r="B23" s="4"/>
      <c r="C23" s="4"/>
      <c r="D23" s="184"/>
      <c r="E23" s="184"/>
      <c r="F23" s="4"/>
      <c r="G23" s="4"/>
      <c r="H23" s="4"/>
      <c r="I23" s="19"/>
      <c r="J23" s="23"/>
    </row>
    <row r="24" spans="1:10">
      <c r="A24" s="21"/>
      <c r="B24" s="4"/>
      <c r="C24" s="4"/>
      <c r="D24" s="184"/>
      <c r="E24" s="184"/>
      <c r="F24" s="4"/>
      <c r="G24" s="24" t="s">
        <v>56</v>
      </c>
      <c r="H24" s="4"/>
      <c r="I24" s="19"/>
      <c r="J24" s="23">
        <f>SUM(J15:J21)</f>
        <v>320</v>
      </c>
    </row>
    <row r="25" spans="1:10">
      <c r="A25" s="21"/>
      <c r="B25" s="4"/>
      <c r="C25" s="4"/>
      <c r="D25" s="184"/>
      <c r="E25" s="184"/>
      <c r="F25" s="4"/>
      <c r="G25" s="4"/>
      <c r="H25" s="4"/>
      <c r="I25" s="19"/>
      <c r="J25" s="23"/>
    </row>
    <row r="26" spans="1:10">
      <c r="A26" s="21"/>
      <c r="B26" s="4"/>
      <c r="C26" s="4"/>
      <c r="D26" s="184"/>
      <c r="E26" s="184"/>
      <c r="F26" s="4"/>
      <c r="G26" s="24" t="s">
        <v>56</v>
      </c>
      <c r="H26" s="4"/>
      <c r="I26" s="4"/>
      <c r="J26" s="23">
        <f>J24-J25</f>
        <v>320</v>
      </c>
    </row>
    <row r="27" spans="1:10">
      <c r="A27" s="25"/>
      <c r="B27" s="4"/>
      <c r="C27" s="4"/>
      <c r="D27" s="4"/>
      <c r="E27" s="4"/>
      <c r="F27" s="4"/>
      <c r="G27" s="24" t="s">
        <v>57</v>
      </c>
      <c r="H27" s="4"/>
      <c r="I27" s="19"/>
      <c r="J27" s="23">
        <v>0</v>
      </c>
    </row>
    <row r="28" spans="1:10">
      <c r="A28" s="14"/>
      <c r="B28" s="4"/>
      <c r="C28" s="4"/>
      <c r="D28" s="4"/>
      <c r="E28" s="4"/>
      <c r="F28" s="4"/>
      <c r="G28" s="24" t="s">
        <v>58</v>
      </c>
      <c r="H28" s="4"/>
      <c r="I28" s="4"/>
      <c r="J28" s="26">
        <f>J26+J27</f>
        <v>320</v>
      </c>
    </row>
    <row r="29" spans="1:10">
      <c r="A29" s="14"/>
      <c r="B29" s="4"/>
      <c r="C29" s="4"/>
      <c r="D29" s="4"/>
      <c r="E29" s="4"/>
      <c r="F29" s="4"/>
      <c r="G29" s="24"/>
      <c r="H29" s="4"/>
      <c r="I29" s="4"/>
      <c r="J29" s="23"/>
    </row>
    <row r="30" spans="1:10">
      <c r="A30" s="27" t="s">
        <v>59</v>
      </c>
      <c r="B30" s="34" t="s">
        <v>65</v>
      </c>
      <c r="C30" s="4"/>
      <c r="D30" s="4"/>
      <c r="E30" s="4"/>
      <c r="F30" s="4"/>
      <c r="G30" s="4"/>
      <c r="H30" s="4"/>
      <c r="I30" s="4"/>
      <c r="J30" s="15"/>
    </row>
    <row r="31" spans="1:10">
      <c r="A31" s="28"/>
      <c r="B31" s="29"/>
      <c r="C31" s="29"/>
      <c r="D31" s="29"/>
      <c r="E31" s="29"/>
      <c r="F31" s="29"/>
      <c r="G31" s="29"/>
      <c r="H31" s="29"/>
      <c r="I31" s="29"/>
      <c r="J31" s="30"/>
    </row>
    <row r="32" spans="1:10">
      <c r="A32" s="39" t="s">
        <v>97</v>
      </c>
      <c r="B32" s="38" t="str">
        <f>+contract!F10</f>
        <v>0001-1</v>
      </c>
      <c r="C32" s="31" t="s">
        <v>99</v>
      </c>
      <c r="D32" s="31"/>
      <c r="E32" s="31"/>
      <c r="F32" s="31"/>
      <c r="G32" s="31" t="s">
        <v>98</v>
      </c>
      <c r="H32" s="31"/>
      <c r="I32" s="31"/>
      <c r="J32" s="32"/>
    </row>
    <row r="33" spans="1:10">
      <c r="A33" s="14"/>
      <c r="B33" s="16"/>
      <c r="C33" s="4"/>
      <c r="D33" s="4"/>
      <c r="E33" s="4"/>
      <c r="F33" s="4"/>
      <c r="G33" s="4"/>
      <c r="H33" s="4"/>
      <c r="I33" s="4"/>
      <c r="J33" s="15"/>
    </row>
    <row r="34" spans="1:10">
      <c r="A34" s="171" t="s">
        <v>60</v>
      </c>
      <c r="B34" s="172"/>
      <c r="C34" s="172"/>
      <c r="D34" s="172"/>
      <c r="E34" s="172"/>
      <c r="F34" s="172"/>
      <c r="G34" s="172"/>
      <c r="H34" s="172"/>
      <c r="I34" s="172"/>
      <c r="J34" s="173"/>
    </row>
  </sheetData>
  <mergeCells count="19">
    <mergeCell ref="A34:J34"/>
    <mergeCell ref="A12:G13"/>
    <mergeCell ref="H12:H13"/>
    <mergeCell ref="I12:I13"/>
    <mergeCell ref="J12:J13"/>
    <mergeCell ref="A14:G14"/>
    <mergeCell ref="D21:F21"/>
    <mergeCell ref="D22:F22"/>
    <mergeCell ref="D23:E23"/>
    <mergeCell ref="D24:E24"/>
    <mergeCell ref="D25:E25"/>
    <mergeCell ref="D26:E26"/>
    <mergeCell ref="H5:J5"/>
    <mergeCell ref="A7:B7"/>
    <mergeCell ref="B8:J8"/>
    <mergeCell ref="I9:J9"/>
    <mergeCell ref="I10:J10"/>
    <mergeCell ref="C7:E7"/>
    <mergeCell ref="F7:H7"/>
  </mergeCells>
  <dataValidations count="1">
    <dataValidation type="list" allowBlank="1" showInputMessage="1" showErrorMessage="1" sqref="I10:J10">
      <formula1>condicionespago</formula1>
    </dataValidation>
  </dataValidations>
  <pageMargins left="0.70866141732283472" right="0.70866141732283472" top="0.74803149606299213" bottom="0.74803149606299213" header="0.31496062992125984" footer="0.31496062992125984"/>
  <pageSetup scale="7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D6"/>
  <sheetViews>
    <sheetView workbookViewId="0">
      <selection activeCell="G8" sqref="G8"/>
    </sheetView>
  </sheetViews>
  <sheetFormatPr baseColWidth="10" defaultRowHeight="15"/>
  <cols>
    <col min="1" max="1" width="21" customWidth="1"/>
    <col min="2" max="2" width="17.42578125" customWidth="1"/>
    <col min="3" max="3" width="14.140625" customWidth="1"/>
  </cols>
  <sheetData>
    <row r="1" spans="1:4">
      <c r="A1" t="s">
        <v>17</v>
      </c>
      <c r="B1" t="s">
        <v>18</v>
      </c>
      <c r="C1" t="s">
        <v>26</v>
      </c>
      <c r="D1" t="s">
        <v>31</v>
      </c>
    </row>
    <row r="2" spans="1:4">
      <c r="A2" t="s">
        <v>15</v>
      </c>
      <c r="B2" t="s">
        <v>5</v>
      </c>
      <c r="C2" t="s">
        <v>27</v>
      </c>
      <c r="D2" t="s">
        <v>32</v>
      </c>
    </row>
    <row r="3" spans="1:4">
      <c r="A3" t="s">
        <v>16</v>
      </c>
      <c r="B3" t="s">
        <v>10</v>
      </c>
      <c r="C3" t="s">
        <v>28</v>
      </c>
      <c r="D3" t="s">
        <v>33</v>
      </c>
    </row>
    <row r="4" spans="1:4">
      <c r="A4" t="s">
        <v>9</v>
      </c>
      <c r="B4" t="s">
        <v>11</v>
      </c>
      <c r="C4" t="s">
        <v>29</v>
      </c>
      <c r="D4" t="s">
        <v>34</v>
      </c>
    </row>
    <row r="5" spans="1:4">
      <c r="A5" t="s">
        <v>36</v>
      </c>
      <c r="B5" t="s">
        <v>12</v>
      </c>
    </row>
    <row r="6" spans="1:4">
      <c r="B6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B2:H33"/>
  <sheetViews>
    <sheetView showGridLines="0" topLeftCell="A7" workbookViewId="0">
      <selection activeCell="A7" sqref="A1:XFD1048576"/>
    </sheetView>
  </sheetViews>
  <sheetFormatPr baseColWidth="10" defaultRowHeight="15"/>
  <cols>
    <col min="1" max="1" width="3" style="80" customWidth="1"/>
    <col min="2" max="2" width="14.7109375" style="80" bestFit="1" customWidth="1"/>
    <col min="3" max="3" width="16.42578125" style="80" customWidth="1"/>
    <col min="4" max="4" width="9.7109375" style="80" bestFit="1" customWidth="1"/>
    <col min="5" max="5" width="14.140625" style="80" bestFit="1" customWidth="1"/>
    <col min="6" max="6" width="17.42578125" style="80" bestFit="1" customWidth="1"/>
    <col min="7" max="7" width="3.85546875" style="80" bestFit="1" customWidth="1"/>
    <col min="8" max="8" width="8.140625" style="80" bestFit="1" customWidth="1"/>
    <col min="9" max="16384" width="11.42578125" style="80"/>
  </cols>
  <sheetData>
    <row r="2" spans="2:8">
      <c r="B2" s="114" t="s">
        <v>172</v>
      </c>
      <c r="C2" s="115"/>
      <c r="D2" s="116"/>
      <c r="F2" s="64"/>
      <c r="G2" s="64"/>
      <c r="H2" s="64"/>
    </row>
    <row r="3" spans="2:8">
      <c r="B3" s="117" t="str">
        <f>+'DATA BASE'!B2</f>
        <v xml:space="preserve">Camilo </v>
      </c>
      <c r="C3" s="110" t="str">
        <f>+'DATA BASE'!C2</f>
        <v>Medina</v>
      </c>
      <c r="D3" s="118"/>
    </row>
    <row r="4" spans="2:8" ht="6.75" customHeight="1">
      <c r="B4" s="119"/>
      <c r="C4" s="64"/>
      <c r="D4" s="118"/>
    </row>
    <row r="5" spans="2:8">
      <c r="B5" s="120" t="s">
        <v>168</v>
      </c>
      <c r="C5" s="82" t="str">
        <f>+'DATA BASE'!AC2</f>
        <v>pachio</v>
      </c>
      <c r="D5" s="118"/>
    </row>
    <row r="6" spans="2:8">
      <c r="B6" s="120" t="s">
        <v>170</v>
      </c>
      <c r="C6" s="82" t="str">
        <f>+'DATA BASE'!AD2</f>
        <v>cornett</v>
      </c>
      <c r="D6" s="118"/>
    </row>
    <row r="7" spans="2:8">
      <c r="B7" s="120" t="s">
        <v>169</v>
      </c>
      <c r="C7" s="82">
        <f>+'DATA BASE'!AE2</f>
        <v>13586913</v>
      </c>
      <c r="D7" s="118"/>
    </row>
    <row r="8" spans="2:8">
      <c r="B8" s="120" t="s">
        <v>25</v>
      </c>
      <c r="C8" s="82">
        <f>+'DATA BASE'!AF2</f>
        <v>5555</v>
      </c>
      <c r="D8" s="118"/>
    </row>
    <row r="9" spans="2:8" ht="6.75" customHeight="1">
      <c r="B9" s="120"/>
      <c r="C9" s="82"/>
      <c r="D9" s="118"/>
    </row>
    <row r="10" spans="2:8">
      <c r="B10" s="121" t="s">
        <v>171</v>
      </c>
      <c r="C10" s="82"/>
      <c r="D10" s="118"/>
    </row>
    <row r="11" spans="2:8">
      <c r="B11" s="122" t="str">
        <f>+'DATA BASE'!S2</f>
        <v xml:space="preserve">Mia </v>
      </c>
      <c r="C11" s="123" t="str">
        <f>+'DATA BASE'!T2</f>
        <v>Escobar Cornett</v>
      </c>
      <c r="D11" s="124"/>
    </row>
    <row r="12" spans="2:8">
      <c r="B12" s="81"/>
      <c r="C12" s="82"/>
    </row>
    <row r="13" spans="2:8">
      <c r="B13" s="114" t="s">
        <v>172</v>
      </c>
      <c r="C13" s="115"/>
      <c r="D13" s="116"/>
    </row>
    <row r="14" spans="2:8">
      <c r="B14" s="117" t="str">
        <f>+B3</f>
        <v xml:space="preserve">Camilo </v>
      </c>
      <c r="C14" s="110" t="str">
        <f>+C3</f>
        <v>Medina</v>
      </c>
      <c r="D14" s="118"/>
    </row>
    <row r="15" spans="2:8" ht="6.75" customHeight="1">
      <c r="B15" s="119"/>
      <c r="C15" s="64"/>
      <c r="D15" s="118"/>
    </row>
    <row r="16" spans="2:8">
      <c r="B16" s="120" t="s">
        <v>168</v>
      </c>
      <c r="C16" s="82" t="str">
        <f>+'DATA BASE'!AG2</f>
        <v>papi</v>
      </c>
      <c r="D16" s="118"/>
    </row>
    <row r="17" spans="2:4">
      <c r="B17" s="120" t="s">
        <v>170</v>
      </c>
      <c r="C17" s="82" t="str">
        <f>+'DATA BASE'!AH2</f>
        <v>medina</v>
      </c>
      <c r="D17" s="118"/>
    </row>
    <row r="18" spans="2:4">
      <c r="B18" s="120" t="s">
        <v>169</v>
      </c>
      <c r="C18" s="82">
        <f>+'DATA BASE'!AI2</f>
        <v>14121172</v>
      </c>
      <c r="D18" s="118"/>
    </row>
    <row r="19" spans="2:4">
      <c r="B19" s="120" t="s">
        <v>25</v>
      </c>
      <c r="C19" s="82">
        <f>+'DATA BASE'!AJ2</f>
        <v>777</v>
      </c>
      <c r="D19" s="118"/>
    </row>
    <row r="20" spans="2:4" ht="6.75" customHeight="1">
      <c r="B20" s="120"/>
      <c r="C20" s="82"/>
      <c r="D20" s="118"/>
    </row>
    <row r="21" spans="2:4">
      <c r="B21" s="121" t="s">
        <v>171</v>
      </c>
      <c r="C21" s="82"/>
      <c r="D21" s="118"/>
    </row>
    <row r="22" spans="2:4">
      <c r="B22" s="122" t="str">
        <f>+B11</f>
        <v xml:space="preserve">Mia </v>
      </c>
      <c r="C22" s="123" t="str">
        <f>+C11</f>
        <v>Escobar Cornett</v>
      </c>
      <c r="D22" s="124"/>
    </row>
    <row r="24" spans="2:4">
      <c r="B24" s="114" t="s">
        <v>172</v>
      </c>
      <c r="C24" s="115"/>
      <c r="D24" s="116"/>
    </row>
    <row r="25" spans="2:4">
      <c r="B25" s="117" t="str">
        <f>+B14</f>
        <v xml:space="preserve">Camilo </v>
      </c>
      <c r="C25" s="110" t="str">
        <f>+C14</f>
        <v>Medina</v>
      </c>
      <c r="D25" s="118"/>
    </row>
    <row r="26" spans="2:4" ht="6.75" customHeight="1">
      <c r="B26" s="119"/>
      <c r="C26" s="64"/>
      <c r="D26" s="118"/>
    </row>
    <row r="27" spans="2:4">
      <c r="B27" s="120" t="s">
        <v>168</v>
      </c>
      <c r="C27" s="82" t="str">
        <f>+'DATA BASE'!AK2</f>
        <v>miguel</v>
      </c>
      <c r="D27" s="118"/>
    </row>
    <row r="28" spans="2:4">
      <c r="B28" s="120" t="s">
        <v>170</v>
      </c>
      <c r="C28" s="82" t="str">
        <f>+'DATA BASE'!AL2</f>
        <v>medinaa</v>
      </c>
      <c r="D28" s="118"/>
    </row>
    <row r="29" spans="2:4">
      <c r="B29" s="120" t="s">
        <v>169</v>
      </c>
      <c r="C29" s="82">
        <f>+'DATA BASE'!AM2</f>
        <v>900000</v>
      </c>
      <c r="D29" s="118"/>
    </row>
    <row r="30" spans="2:4">
      <c r="B30" s="120" t="s">
        <v>25</v>
      </c>
      <c r="C30" s="82">
        <f>+'DATA BASE'!AN2</f>
        <v>32</v>
      </c>
      <c r="D30" s="125"/>
    </row>
    <row r="31" spans="2:4" ht="6.75" customHeight="1">
      <c r="B31" s="120"/>
      <c r="C31" s="82"/>
      <c r="D31" s="118"/>
    </row>
    <row r="32" spans="2:4">
      <c r="B32" s="121" t="s">
        <v>171</v>
      </c>
      <c r="C32" s="82"/>
      <c r="D32" s="118"/>
    </row>
    <row r="33" spans="2:4">
      <c r="B33" s="122" t="str">
        <f>+B22</f>
        <v xml:space="preserve">Mia </v>
      </c>
      <c r="C33" s="123" t="str">
        <f>+C22</f>
        <v>Escobar Cornett</v>
      </c>
      <c r="D33" s="124"/>
    </row>
  </sheetData>
  <pageMargins left="0.3" right="0.21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5:V28"/>
  <sheetViews>
    <sheetView topLeftCell="A3" workbookViewId="0">
      <selection activeCell="J27" sqref="J27"/>
    </sheetView>
  </sheetViews>
  <sheetFormatPr baseColWidth="10" defaultRowHeight="15"/>
  <cols>
    <col min="3" max="22" width="4.140625" customWidth="1"/>
  </cols>
  <sheetData>
    <row r="15" spans="1:22">
      <c r="C15">
        <v>1</v>
      </c>
      <c r="D15">
        <v>2</v>
      </c>
      <c r="E15">
        <v>3</v>
      </c>
      <c r="F15">
        <v>4</v>
      </c>
      <c r="G15">
        <v>5</v>
      </c>
      <c r="H15">
        <v>6</v>
      </c>
      <c r="I15">
        <v>7</v>
      </c>
      <c r="J15">
        <v>8</v>
      </c>
      <c r="K15">
        <v>9</v>
      </c>
      <c r="L15">
        <v>10</v>
      </c>
      <c r="M15">
        <v>11</v>
      </c>
      <c r="N15">
        <v>12</v>
      </c>
      <c r="O15">
        <v>13</v>
      </c>
      <c r="P15">
        <v>14</v>
      </c>
      <c r="Q15">
        <v>15</v>
      </c>
      <c r="R15">
        <v>16</v>
      </c>
      <c r="S15">
        <v>17</v>
      </c>
      <c r="T15">
        <v>18</v>
      </c>
      <c r="U15">
        <v>19</v>
      </c>
      <c r="V15">
        <v>20</v>
      </c>
    </row>
    <row r="16" spans="1:22">
      <c r="A16" t="s">
        <v>66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">
      <c r="A17" t="s">
        <v>67</v>
      </c>
    </row>
    <row r="18" spans="1:1">
      <c r="A18" t="s">
        <v>68</v>
      </c>
    </row>
    <row r="19" spans="1:1">
      <c r="A19" t="s">
        <v>69</v>
      </c>
    </row>
    <row r="20" spans="1:1">
      <c r="A20" t="s">
        <v>70</v>
      </c>
    </row>
    <row r="21" spans="1:1">
      <c r="A21" t="s">
        <v>71</v>
      </c>
    </row>
    <row r="22" spans="1:1">
      <c r="A22" t="s">
        <v>68</v>
      </c>
    </row>
    <row r="23" spans="1:1">
      <c r="A23" t="s">
        <v>69</v>
      </c>
    </row>
    <row r="24" spans="1:1">
      <c r="A24" t="s">
        <v>72</v>
      </c>
    </row>
    <row r="25" spans="1:1">
      <c r="A25" t="s">
        <v>73</v>
      </c>
    </row>
    <row r="26" spans="1:1">
      <c r="A26" t="s">
        <v>68</v>
      </c>
    </row>
    <row r="27" spans="1:1">
      <c r="A27" t="s">
        <v>69</v>
      </c>
    </row>
    <row r="28" spans="1:1">
      <c r="A28" t="s">
        <v>74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G59"/>
  <sheetViews>
    <sheetView workbookViewId="0">
      <selection activeCell="H36" sqref="H36"/>
    </sheetView>
  </sheetViews>
  <sheetFormatPr baseColWidth="10" defaultRowHeight="15"/>
  <cols>
    <col min="1" max="1" width="22.28515625" style="41" customWidth="1"/>
    <col min="2" max="2" width="14" style="41" customWidth="1"/>
    <col min="3" max="3" width="15.5703125" style="41" customWidth="1"/>
    <col min="4" max="4" width="18.28515625" style="41" customWidth="1"/>
    <col min="5" max="5" width="14.85546875" style="41" customWidth="1"/>
    <col min="6" max="6" width="13.28515625" style="41" customWidth="1"/>
    <col min="7" max="7" width="17.28515625" style="41" bestFit="1" customWidth="1"/>
    <col min="8" max="8" width="14.5703125" style="41" customWidth="1"/>
    <col min="9" max="9" width="16.28515625" style="41" bestFit="1" customWidth="1"/>
    <col min="10" max="11" width="11.42578125" style="41"/>
    <col min="12" max="12" width="18.140625" style="41" bestFit="1" customWidth="1"/>
    <col min="13" max="16384" width="11.42578125" style="41"/>
  </cols>
  <sheetData>
    <row r="1" spans="1:7" ht="15.75">
      <c r="B1" s="85" t="s">
        <v>102</v>
      </c>
    </row>
    <row r="2" spans="1:7" ht="15.75">
      <c r="B2" s="86" t="s">
        <v>103</v>
      </c>
    </row>
    <row r="3" spans="1:7">
      <c r="B3" t="s">
        <v>163</v>
      </c>
    </row>
    <row r="4" spans="1:7">
      <c r="B4" t="s">
        <v>164</v>
      </c>
    </row>
    <row r="5" spans="1:7" s="67" customFormat="1" ht="15.75">
      <c r="B5" s="84" t="s">
        <v>145</v>
      </c>
    </row>
    <row r="7" spans="1:7" ht="15.75" thickBot="1">
      <c r="A7" s="83"/>
    </row>
    <row r="8" spans="1:7" ht="27" thickBot="1">
      <c r="A8" s="153" t="s">
        <v>22</v>
      </c>
      <c r="B8" s="154"/>
      <c r="C8" s="154"/>
      <c r="D8" s="154"/>
      <c r="E8" s="154"/>
      <c r="F8" s="154"/>
      <c r="G8" s="155"/>
    </row>
    <row r="9" spans="1:7" ht="15.75" thickBot="1"/>
    <row r="10" spans="1:7" ht="15.75" thickBot="1">
      <c r="E10" s="42" t="s">
        <v>8</v>
      </c>
      <c r="F10" s="160"/>
      <c r="G10" s="161"/>
    </row>
    <row r="11" spans="1:7" ht="15.75" thickBot="1"/>
    <row r="12" spans="1:7" ht="15.75" thickBot="1">
      <c r="A12" s="150" t="s">
        <v>19</v>
      </c>
      <c r="B12" s="151"/>
      <c r="C12" s="151"/>
      <c r="D12" s="151"/>
      <c r="E12" s="151"/>
      <c r="F12" s="151"/>
      <c r="G12" s="152"/>
    </row>
    <row r="13" spans="1:7">
      <c r="A13" s="43" t="s">
        <v>23</v>
      </c>
      <c r="B13" s="134"/>
      <c r="C13" s="159"/>
      <c r="D13" s="113" t="s">
        <v>24</v>
      </c>
      <c r="E13" s="134"/>
      <c r="F13" s="159"/>
      <c r="G13" s="162"/>
    </row>
    <row r="14" spans="1:7" ht="15.75" thickBot="1">
      <c r="A14" s="45" t="s">
        <v>132</v>
      </c>
      <c r="B14" s="145"/>
      <c r="C14" s="145"/>
      <c r="D14" s="145"/>
      <c r="E14" s="145"/>
      <c r="F14" s="145"/>
      <c r="G14" s="146"/>
    </row>
    <row r="15" spans="1:7" ht="15.75" thickBot="1">
      <c r="B15" s="46"/>
    </row>
    <row r="16" spans="1:7" ht="15.75" thickBot="1">
      <c r="A16" s="147" t="s">
        <v>21</v>
      </c>
      <c r="B16" s="148"/>
      <c r="C16" s="148"/>
      <c r="D16" s="148"/>
      <c r="E16" s="148"/>
      <c r="F16" s="148"/>
      <c r="G16" s="149"/>
    </row>
    <row r="17" spans="1:7">
      <c r="A17" s="43" t="s">
        <v>23</v>
      </c>
      <c r="B17" s="134"/>
      <c r="C17" s="134"/>
      <c r="D17" s="111" t="s">
        <v>24</v>
      </c>
      <c r="E17" s="156"/>
      <c r="F17" s="157"/>
      <c r="G17" s="158"/>
    </row>
    <row r="18" spans="1:7" ht="15.75">
      <c r="A18" s="44" t="s">
        <v>63</v>
      </c>
      <c r="B18" s="128"/>
      <c r="C18" s="129"/>
      <c r="D18" s="129"/>
      <c r="E18" s="129"/>
      <c r="F18" s="129"/>
      <c r="G18" s="130"/>
    </row>
    <row r="19" spans="1:7">
      <c r="A19" s="44" t="s">
        <v>0</v>
      </c>
      <c r="B19" s="131"/>
      <c r="C19" s="132"/>
      <c r="D19" s="132"/>
      <c r="E19" s="132"/>
      <c r="F19" s="132"/>
      <c r="G19" s="133"/>
    </row>
    <row r="20" spans="1:7">
      <c r="A20" s="44" t="s">
        <v>25</v>
      </c>
      <c r="B20" s="138"/>
      <c r="C20" s="138"/>
      <c r="D20" s="112" t="s">
        <v>37</v>
      </c>
      <c r="E20" s="131"/>
      <c r="F20" s="132"/>
      <c r="G20" s="133"/>
    </row>
    <row r="21" spans="1:7">
      <c r="A21" s="44" t="s">
        <v>1</v>
      </c>
      <c r="B21" s="131"/>
      <c r="C21" s="132"/>
      <c r="D21" s="132"/>
      <c r="E21" s="132"/>
      <c r="F21" s="132"/>
      <c r="G21" s="133"/>
    </row>
    <row r="22" spans="1:7">
      <c r="A22" s="44" t="s">
        <v>25</v>
      </c>
      <c r="B22" s="138"/>
      <c r="C22" s="138"/>
      <c r="D22" s="112" t="s">
        <v>38</v>
      </c>
      <c r="E22" s="131"/>
      <c r="F22" s="132"/>
      <c r="G22" s="133"/>
    </row>
    <row r="23" spans="1:7" ht="15.75" thickBot="1">
      <c r="A23" s="45" t="s">
        <v>93</v>
      </c>
      <c r="B23" s="139"/>
      <c r="C23" s="140"/>
      <c r="D23" s="140"/>
      <c r="E23" s="140"/>
      <c r="F23" s="140"/>
      <c r="G23" s="141"/>
    </row>
    <row r="24" spans="1:7" ht="15.75" thickBot="1">
      <c r="B24" s="46"/>
    </row>
    <row r="25" spans="1:7" ht="15.75" thickBot="1">
      <c r="A25" s="147" t="s">
        <v>105</v>
      </c>
      <c r="B25" s="148"/>
      <c r="C25" s="148"/>
      <c r="D25" s="148"/>
      <c r="E25" s="148"/>
      <c r="F25" s="148"/>
      <c r="G25" s="149"/>
    </row>
    <row r="26" spans="1:7">
      <c r="A26" s="43" t="s">
        <v>23</v>
      </c>
      <c r="B26" s="134"/>
      <c r="C26" s="134"/>
      <c r="D26" s="90" t="s">
        <v>24</v>
      </c>
      <c r="E26" s="134"/>
      <c r="F26" s="134"/>
      <c r="G26" s="135"/>
    </row>
    <row r="27" spans="1:7" ht="15.75">
      <c r="A27" s="44" t="s">
        <v>63</v>
      </c>
      <c r="B27" s="143"/>
      <c r="C27" s="143"/>
      <c r="D27" s="88" t="s">
        <v>25</v>
      </c>
      <c r="E27" s="138"/>
      <c r="F27" s="138"/>
      <c r="G27" s="142"/>
    </row>
    <row r="28" spans="1:7" ht="15.75">
      <c r="A28" s="44" t="s">
        <v>23</v>
      </c>
      <c r="B28" s="136"/>
      <c r="C28" s="136"/>
      <c r="D28" s="91" t="s">
        <v>24</v>
      </c>
      <c r="E28" s="138"/>
      <c r="F28" s="138"/>
      <c r="G28" s="142"/>
    </row>
    <row r="29" spans="1:7" ht="15.75">
      <c r="A29" s="44" t="s">
        <v>63</v>
      </c>
      <c r="B29" s="136"/>
      <c r="C29" s="136"/>
      <c r="D29" s="88" t="s">
        <v>25</v>
      </c>
      <c r="E29" s="143"/>
      <c r="F29" s="143"/>
      <c r="G29" s="144"/>
    </row>
    <row r="30" spans="1:7" ht="15.75">
      <c r="A30" s="44" t="s">
        <v>23</v>
      </c>
      <c r="B30" s="136"/>
      <c r="C30" s="136"/>
      <c r="D30" s="91" t="s">
        <v>24</v>
      </c>
      <c r="E30" s="138"/>
      <c r="F30" s="138"/>
      <c r="G30" s="142"/>
    </row>
    <row r="31" spans="1:7" ht="16.5" thickBot="1">
      <c r="A31" s="45" t="s">
        <v>63</v>
      </c>
      <c r="B31" s="137"/>
      <c r="C31" s="137"/>
      <c r="D31" s="89" t="s">
        <v>25</v>
      </c>
      <c r="E31" s="145"/>
      <c r="F31" s="145"/>
      <c r="G31" s="146"/>
    </row>
    <row r="32" spans="1:7" customFormat="1" ht="15.75" thickBot="1"/>
    <row r="33" spans="1:7" s="67" customFormat="1" ht="15.75" thickBot="1">
      <c r="A33" s="147" t="s">
        <v>20</v>
      </c>
      <c r="B33" s="148"/>
      <c r="C33" s="148"/>
      <c r="D33" s="148"/>
      <c r="E33" s="148"/>
      <c r="F33" s="148"/>
      <c r="G33" s="149"/>
    </row>
    <row r="34" spans="1:7">
      <c r="A34" s="47" t="s">
        <v>2</v>
      </c>
      <c r="B34" s="99"/>
      <c r="C34" s="49"/>
      <c r="D34" s="48" t="s">
        <v>142</v>
      </c>
      <c r="E34" s="50"/>
      <c r="F34" s="49"/>
      <c r="G34" s="51"/>
    </row>
    <row r="35" spans="1:7">
      <c r="A35" s="52" t="s">
        <v>3</v>
      </c>
      <c r="B35" s="53"/>
      <c r="C35" s="54"/>
      <c r="D35" s="55" t="s">
        <v>30</v>
      </c>
      <c r="E35" s="56"/>
      <c r="F35" s="57"/>
      <c r="G35" s="58"/>
    </row>
    <row r="36" spans="1:7">
      <c r="A36" s="52" t="s">
        <v>4</v>
      </c>
      <c r="B36" s="53"/>
      <c r="C36" s="54"/>
      <c r="D36" s="59" t="s">
        <v>35</v>
      </c>
      <c r="F36" s="60"/>
      <c r="G36" s="61"/>
    </row>
    <row r="37" spans="1:7">
      <c r="A37" s="52" t="s">
        <v>92</v>
      </c>
      <c r="B37" s="53"/>
      <c r="C37" s="54"/>
      <c r="D37" s="59"/>
      <c r="G37" s="62"/>
    </row>
    <row r="38" spans="1:7">
      <c r="A38" s="52" t="s">
        <v>6</v>
      </c>
      <c r="B38" s="2"/>
      <c r="C38" s="54"/>
      <c r="D38" s="59"/>
      <c r="G38" s="63"/>
    </row>
    <row r="39" spans="1:7" ht="15.75" thickBot="1">
      <c r="A39" s="74" t="s">
        <v>7</v>
      </c>
      <c r="B39" s="40"/>
      <c r="C39" s="75"/>
      <c r="D39" s="76"/>
      <c r="E39" s="77"/>
      <c r="F39" s="77"/>
      <c r="G39" s="78"/>
    </row>
    <row r="40" spans="1:7" ht="15.75" thickBot="1">
      <c r="A40" s="64"/>
      <c r="C40" s="65"/>
    </row>
    <row r="41" spans="1:7" ht="15.75" thickBot="1">
      <c r="A41" s="150" t="s">
        <v>39</v>
      </c>
      <c r="B41" s="151"/>
      <c r="C41" s="151"/>
      <c r="D41" s="152"/>
      <c r="E41" s="100"/>
      <c r="F41" s="100"/>
      <c r="G41" s="100"/>
    </row>
    <row r="42" spans="1:7">
      <c r="A42" s="66" t="s">
        <v>14</v>
      </c>
      <c r="B42" s="103">
        <v>12</v>
      </c>
      <c r="C42" s="104" t="s">
        <v>95</v>
      </c>
      <c r="D42" s="105" t="s">
        <v>94</v>
      </c>
    </row>
    <row r="43" spans="1:7">
      <c r="A43" s="68" t="s">
        <v>143</v>
      </c>
      <c r="B43" s="70">
        <v>320</v>
      </c>
      <c r="C43" s="70"/>
      <c r="D43" s="69"/>
    </row>
    <row r="44" spans="1:7">
      <c r="A44" s="68" t="s">
        <v>144</v>
      </c>
      <c r="B44" s="70">
        <v>245</v>
      </c>
      <c r="C44" s="70"/>
      <c r="D44" s="69"/>
    </row>
    <row r="45" spans="1:7">
      <c r="A45" s="68" t="s">
        <v>106</v>
      </c>
      <c r="B45" s="70">
        <v>320</v>
      </c>
      <c r="C45" s="108"/>
      <c r="D45" s="69"/>
    </row>
    <row r="46" spans="1:7">
      <c r="A46" s="68" t="s">
        <v>107</v>
      </c>
      <c r="B46" s="70">
        <v>320</v>
      </c>
      <c r="C46" s="108">
        <v>40452</v>
      </c>
      <c r="D46" s="69"/>
    </row>
    <row r="47" spans="1:7">
      <c r="A47" s="68" t="s">
        <v>108</v>
      </c>
      <c r="B47" s="70">
        <v>320</v>
      </c>
      <c r="C47" s="108">
        <v>40483</v>
      </c>
      <c r="D47" s="69"/>
    </row>
    <row r="48" spans="1:7">
      <c r="A48" s="68" t="s">
        <v>109</v>
      </c>
      <c r="B48" s="70">
        <v>320</v>
      </c>
      <c r="C48" s="108">
        <v>40513</v>
      </c>
      <c r="D48" s="69"/>
    </row>
    <row r="49" spans="1:5">
      <c r="A49" s="68" t="s">
        <v>110</v>
      </c>
      <c r="B49" s="70">
        <v>320</v>
      </c>
      <c r="C49" s="108">
        <v>40558</v>
      </c>
      <c r="D49" s="69"/>
    </row>
    <row r="50" spans="1:5">
      <c r="A50" s="68" t="s">
        <v>111</v>
      </c>
      <c r="B50" s="70">
        <v>320</v>
      </c>
      <c r="C50" s="108">
        <v>40575</v>
      </c>
      <c r="D50" s="69"/>
    </row>
    <row r="51" spans="1:5">
      <c r="A51" s="68" t="s">
        <v>112</v>
      </c>
      <c r="B51" s="70">
        <v>320</v>
      </c>
      <c r="C51" s="108">
        <v>40603</v>
      </c>
      <c r="D51" s="69"/>
    </row>
    <row r="52" spans="1:5">
      <c r="A52" s="68" t="s">
        <v>113</v>
      </c>
      <c r="B52" s="70">
        <v>320</v>
      </c>
      <c r="C52" s="108">
        <v>40634</v>
      </c>
      <c r="D52" s="69"/>
    </row>
    <row r="53" spans="1:5">
      <c r="A53" s="68" t="s">
        <v>114</v>
      </c>
      <c r="B53" s="70">
        <v>320</v>
      </c>
      <c r="C53" s="108">
        <v>40664</v>
      </c>
      <c r="D53" s="69"/>
    </row>
    <row r="54" spans="1:5">
      <c r="A54" s="68" t="s">
        <v>115</v>
      </c>
      <c r="B54" s="70">
        <v>320</v>
      </c>
      <c r="C54" s="108">
        <v>40695</v>
      </c>
      <c r="D54" s="69"/>
    </row>
    <row r="55" spans="1:5" ht="15.75" thickBot="1">
      <c r="A55" s="71" t="s">
        <v>116</v>
      </c>
      <c r="B55" s="73">
        <v>320</v>
      </c>
      <c r="C55" s="109">
        <v>40725</v>
      </c>
      <c r="D55" s="72"/>
    </row>
    <row r="57" spans="1:5">
      <c r="A57" s="107"/>
    </row>
    <row r="59" spans="1:5">
      <c r="A59" s="41" t="s">
        <v>101</v>
      </c>
      <c r="E59" s="41" t="s">
        <v>100</v>
      </c>
    </row>
  </sheetData>
  <mergeCells count="32">
    <mergeCell ref="B14:G14"/>
    <mergeCell ref="A8:G8"/>
    <mergeCell ref="F10:G10"/>
    <mergeCell ref="A12:G12"/>
    <mergeCell ref="B13:C13"/>
    <mergeCell ref="E13:G13"/>
    <mergeCell ref="B26:C26"/>
    <mergeCell ref="E26:G26"/>
    <mergeCell ref="A16:G16"/>
    <mergeCell ref="B17:C17"/>
    <mergeCell ref="E17:G17"/>
    <mergeCell ref="B18:G18"/>
    <mergeCell ref="B19:G19"/>
    <mergeCell ref="B20:C20"/>
    <mergeCell ref="E20:G20"/>
    <mergeCell ref="B21:G21"/>
    <mergeCell ref="B22:C22"/>
    <mergeCell ref="E22:G22"/>
    <mergeCell ref="B23:G23"/>
    <mergeCell ref="A25:G25"/>
    <mergeCell ref="A41:D41"/>
    <mergeCell ref="B27:C27"/>
    <mergeCell ref="E27:G27"/>
    <mergeCell ref="B28:C28"/>
    <mergeCell ref="E28:G28"/>
    <mergeCell ref="B29:C29"/>
    <mergeCell ref="E29:G29"/>
    <mergeCell ref="B30:C30"/>
    <mergeCell ref="E30:G30"/>
    <mergeCell ref="B31:C31"/>
    <mergeCell ref="E31:G31"/>
    <mergeCell ref="A33:G3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1:H50"/>
  <sheetViews>
    <sheetView workbookViewId="0">
      <selection activeCell="H19" sqref="H19"/>
    </sheetView>
  </sheetViews>
  <sheetFormatPr baseColWidth="10" defaultRowHeight="15"/>
  <cols>
    <col min="1" max="1" width="3" style="80" customWidth="1"/>
    <col min="2" max="2" width="14.7109375" style="80" bestFit="1" customWidth="1"/>
    <col min="3" max="3" width="16.42578125" style="80" customWidth="1"/>
    <col min="4" max="4" width="9.7109375" style="80" bestFit="1" customWidth="1"/>
    <col min="5" max="5" width="14.7109375" style="80" bestFit="1" customWidth="1"/>
    <col min="6" max="6" width="16.42578125" style="80" customWidth="1"/>
    <col min="7" max="7" width="9.7109375" style="80" bestFit="1" customWidth="1"/>
    <col min="8" max="8" width="8.140625" style="80" bestFit="1" customWidth="1"/>
    <col min="9" max="16384" width="11.42578125" style="80"/>
  </cols>
  <sheetData>
    <row r="1" spans="2:8">
      <c r="B1" s="114" t="s">
        <v>172</v>
      </c>
      <c r="C1" s="115"/>
      <c r="D1" s="116"/>
      <c r="E1" s="114" t="s">
        <v>172</v>
      </c>
      <c r="F1" s="115"/>
      <c r="G1" s="116"/>
      <c r="H1" s="64"/>
    </row>
    <row r="2" spans="2:8">
      <c r="B2" s="117"/>
      <c r="C2" s="110"/>
      <c r="D2" s="118"/>
      <c r="E2" s="117"/>
      <c r="F2" s="110"/>
      <c r="G2" s="118"/>
    </row>
    <row r="3" spans="2:8" ht="6.75" customHeight="1">
      <c r="B3" s="119"/>
      <c r="C3" s="64"/>
      <c r="D3" s="118"/>
      <c r="E3" s="119"/>
      <c r="F3" s="64"/>
      <c r="G3" s="118"/>
    </row>
    <row r="4" spans="2:8">
      <c r="B4" s="120" t="s">
        <v>168</v>
      </c>
      <c r="C4" s="82"/>
      <c r="D4" s="118"/>
      <c r="E4" s="120" t="s">
        <v>168</v>
      </c>
      <c r="F4" s="82"/>
      <c r="G4" s="118"/>
    </row>
    <row r="5" spans="2:8">
      <c r="B5" s="120" t="s">
        <v>170</v>
      </c>
      <c r="C5" s="82"/>
      <c r="D5" s="118"/>
      <c r="E5" s="120" t="s">
        <v>170</v>
      </c>
      <c r="F5" s="82"/>
      <c r="G5" s="118"/>
    </row>
    <row r="6" spans="2:8">
      <c r="B6" s="120" t="s">
        <v>169</v>
      </c>
      <c r="C6" s="82"/>
      <c r="D6" s="118"/>
      <c r="E6" s="120" t="s">
        <v>169</v>
      </c>
      <c r="F6" s="82"/>
      <c r="G6" s="118"/>
    </row>
    <row r="7" spans="2:8">
      <c r="B7" s="120" t="s">
        <v>25</v>
      </c>
      <c r="C7" s="82"/>
      <c r="D7" s="118"/>
      <c r="E7" s="120" t="s">
        <v>25</v>
      </c>
      <c r="F7" s="82"/>
      <c r="G7" s="118"/>
    </row>
    <row r="8" spans="2:8" ht="6.75" customHeight="1">
      <c r="B8" s="120"/>
      <c r="C8" s="82"/>
      <c r="D8" s="118"/>
      <c r="E8" s="120"/>
      <c r="F8" s="82"/>
      <c r="G8" s="118"/>
    </row>
    <row r="9" spans="2:8">
      <c r="B9" s="121" t="s">
        <v>171</v>
      </c>
      <c r="C9" s="82"/>
      <c r="D9" s="118"/>
      <c r="E9" s="121" t="s">
        <v>171</v>
      </c>
      <c r="F9" s="82"/>
      <c r="G9" s="118"/>
    </row>
    <row r="10" spans="2:8">
      <c r="B10" s="122"/>
      <c r="C10" s="123"/>
      <c r="D10" s="124"/>
      <c r="E10" s="122"/>
      <c r="F10" s="123"/>
      <c r="G10" s="124"/>
    </row>
    <row r="11" spans="2:8">
      <c r="B11" s="114" t="s">
        <v>172</v>
      </c>
      <c r="C11" s="115"/>
      <c r="D11" s="116"/>
      <c r="E11" s="114" t="s">
        <v>172</v>
      </c>
      <c r="F11" s="115"/>
      <c r="G11" s="116"/>
    </row>
    <row r="12" spans="2:8">
      <c r="B12" s="117"/>
      <c r="C12" s="110"/>
      <c r="D12" s="118"/>
      <c r="E12" s="117"/>
      <c r="F12" s="110"/>
      <c r="G12" s="118"/>
    </row>
    <row r="13" spans="2:8" ht="6.75" customHeight="1">
      <c r="B13" s="119"/>
      <c r="C13" s="64"/>
      <c r="D13" s="118"/>
      <c r="E13" s="119"/>
      <c r="F13" s="64"/>
      <c r="G13" s="118"/>
    </row>
    <row r="14" spans="2:8">
      <c r="B14" s="120" t="s">
        <v>168</v>
      </c>
      <c r="C14" s="82"/>
      <c r="D14" s="118"/>
      <c r="E14" s="120" t="s">
        <v>168</v>
      </c>
      <c r="F14" s="82"/>
      <c r="G14" s="118"/>
    </row>
    <row r="15" spans="2:8">
      <c r="B15" s="120" t="s">
        <v>170</v>
      </c>
      <c r="C15" s="82"/>
      <c r="D15" s="118"/>
      <c r="E15" s="120" t="s">
        <v>170</v>
      </c>
      <c r="F15" s="82"/>
      <c r="G15" s="118"/>
    </row>
    <row r="16" spans="2:8">
      <c r="B16" s="120" t="s">
        <v>169</v>
      </c>
      <c r="C16" s="82"/>
      <c r="D16" s="118"/>
      <c r="E16" s="120" t="s">
        <v>169</v>
      </c>
      <c r="F16" s="82"/>
      <c r="G16" s="118"/>
    </row>
    <row r="17" spans="2:7">
      <c r="B17" s="120" t="s">
        <v>25</v>
      </c>
      <c r="C17" s="82"/>
      <c r="D17" s="118"/>
      <c r="E17" s="120" t="s">
        <v>25</v>
      </c>
      <c r="F17" s="82"/>
      <c r="G17" s="118"/>
    </row>
    <row r="18" spans="2:7">
      <c r="B18" s="120"/>
      <c r="C18" s="82"/>
      <c r="D18" s="118"/>
      <c r="E18" s="120"/>
      <c r="F18" s="82"/>
      <c r="G18" s="118"/>
    </row>
    <row r="19" spans="2:7">
      <c r="B19" s="121" t="s">
        <v>171</v>
      </c>
      <c r="C19" s="82"/>
      <c r="D19" s="118"/>
      <c r="E19" s="121" t="s">
        <v>171</v>
      </c>
      <c r="F19" s="82"/>
      <c r="G19" s="118"/>
    </row>
    <row r="20" spans="2:7">
      <c r="B20" s="122"/>
      <c r="C20" s="123"/>
      <c r="D20" s="124"/>
      <c r="E20" s="122"/>
      <c r="F20" s="123"/>
      <c r="G20" s="124"/>
    </row>
    <row r="21" spans="2:7">
      <c r="B21" s="114" t="s">
        <v>172</v>
      </c>
      <c r="C21" s="115"/>
      <c r="D21" s="116"/>
      <c r="E21" s="114" t="s">
        <v>172</v>
      </c>
      <c r="F21" s="115"/>
      <c r="G21" s="116"/>
    </row>
    <row r="22" spans="2:7">
      <c r="B22" s="117"/>
      <c r="C22" s="110"/>
      <c r="D22" s="118"/>
      <c r="E22" s="117"/>
      <c r="F22" s="110"/>
      <c r="G22" s="118"/>
    </row>
    <row r="23" spans="2:7">
      <c r="B23" s="119"/>
      <c r="C23" s="64"/>
      <c r="D23" s="118"/>
      <c r="E23" s="119"/>
      <c r="F23" s="64"/>
      <c r="G23" s="118"/>
    </row>
    <row r="24" spans="2:7">
      <c r="B24" s="120" t="s">
        <v>168</v>
      </c>
      <c r="C24" s="82"/>
      <c r="D24" s="118"/>
      <c r="E24" s="120" t="s">
        <v>168</v>
      </c>
      <c r="F24" s="82"/>
      <c r="G24" s="118"/>
    </row>
    <row r="25" spans="2:7">
      <c r="B25" s="120" t="s">
        <v>170</v>
      </c>
      <c r="C25" s="82"/>
      <c r="D25" s="118"/>
      <c r="E25" s="120" t="s">
        <v>170</v>
      </c>
      <c r="F25" s="82"/>
      <c r="G25" s="118"/>
    </row>
    <row r="26" spans="2:7">
      <c r="B26" s="120" t="s">
        <v>169</v>
      </c>
      <c r="C26" s="82"/>
      <c r="D26" s="118"/>
      <c r="E26" s="120" t="s">
        <v>169</v>
      </c>
      <c r="F26" s="82"/>
      <c r="G26" s="118"/>
    </row>
    <row r="27" spans="2:7">
      <c r="B27" s="120" t="s">
        <v>25</v>
      </c>
      <c r="C27" s="82"/>
      <c r="D27" s="125"/>
      <c r="E27" s="120" t="s">
        <v>25</v>
      </c>
      <c r="F27" s="82"/>
      <c r="G27" s="125"/>
    </row>
    <row r="28" spans="2:7">
      <c r="B28" s="120"/>
      <c r="C28" s="82"/>
      <c r="D28" s="118"/>
      <c r="E28" s="120"/>
      <c r="F28" s="82"/>
      <c r="G28" s="118"/>
    </row>
    <row r="29" spans="2:7">
      <c r="B29" s="121" t="s">
        <v>171</v>
      </c>
      <c r="C29" s="82"/>
      <c r="D29" s="118"/>
      <c r="E29" s="121" t="s">
        <v>171</v>
      </c>
      <c r="F29" s="82"/>
      <c r="G29" s="118"/>
    </row>
    <row r="30" spans="2:7">
      <c r="B30" s="122"/>
      <c r="C30" s="123"/>
      <c r="D30" s="124"/>
      <c r="E30" s="122"/>
      <c r="F30" s="123"/>
      <c r="G30" s="124"/>
    </row>
    <row r="31" spans="2:7">
      <c r="B31" s="114" t="s">
        <v>172</v>
      </c>
      <c r="C31" s="115"/>
      <c r="D31" s="116"/>
      <c r="E31" s="114" t="s">
        <v>172</v>
      </c>
      <c r="F31" s="115"/>
      <c r="G31" s="116"/>
    </row>
    <row r="32" spans="2:7">
      <c r="B32" s="117"/>
      <c r="C32" s="110"/>
      <c r="D32" s="118"/>
      <c r="E32" s="117"/>
      <c r="F32" s="110"/>
      <c r="G32" s="118"/>
    </row>
    <row r="33" spans="2:7">
      <c r="B33" s="119"/>
      <c r="C33" s="64"/>
      <c r="D33" s="118"/>
      <c r="E33" s="119"/>
      <c r="F33" s="64"/>
      <c r="G33" s="118"/>
    </row>
    <row r="34" spans="2:7">
      <c r="B34" s="120" t="s">
        <v>168</v>
      </c>
      <c r="C34" s="82"/>
      <c r="D34" s="118"/>
      <c r="E34" s="120" t="s">
        <v>168</v>
      </c>
      <c r="F34" s="82"/>
      <c r="G34" s="118"/>
    </row>
    <row r="35" spans="2:7">
      <c r="B35" s="120" t="s">
        <v>170</v>
      </c>
      <c r="C35" s="82"/>
      <c r="D35" s="118"/>
      <c r="E35" s="120" t="s">
        <v>170</v>
      </c>
      <c r="F35" s="82"/>
      <c r="G35" s="118"/>
    </row>
    <row r="36" spans="2:7">
      <c r="B36" s="120" t="s">
        <v>169</v>
      </c>
      <c r="C36" s="82"/>
      <c r="D36" s="118"/>
      <c r="E36" s="120" t="s">
        <v>169</v>
      </c>
      <c r="F36" s="82"/>
      <c r="G36" s="118"/>
    </row>
    <row r="37" spans="2:7">
      <c r="B37" s="120" t="s">
        <v>25</v>
      </c>
      <c r="C37" s="82"/>
      <c r="D37" s="125"/>
      <c r="E37" s="120" t="s">
        <v>25</v>
      </c>
      <c r="F37" s="82"/>
      <c r="G37" s="125"/>
    </row>
    <row r="38" spans="2:7">
      <c r="B38" s="120"/>
      <c r="C38" s="82"/>
      <c r="D38" s="118"/>
      <c r="E38" s="120"/>
      <c r="F38" s="82"/>
      <c r="G38" s="118"/>
    </row>
    <row r="39" spans="2:7">
      <c r="B39" s="121" t="s">
        <v>171</v>
      </c>
      <c r="C39" s="82"/>
      <c r="D39" s="118"/>
      <c r="E39" s="121" t="s">
        <v>171</v>
      </c>
      <c r="F39" s="82"/>
      <c r="G39" s="118"/>
    </row>
    <row r="40" spans="2:7">
      <c r="B40" s="122"/>
      <c r="C40" s="123"/>
      <c r="D40" s="124"/>
      <c r="E40" s="122"/>
      <c r="F40" s="123"/>
      <c r="G40" s="124"/>
    </row>
    <row r="41" spans="2:7">
      <c r="B41" s="114" t="s">
        <v>172</v>
      </c>
      <c r="C41" s="115"/>
      <c r="D41" s="116"/>
      <c r="E41" s="114" t="s">
        <v>172</v>
      </c>
      <c r="F41" s="115"/>
      <c r="G41" s="116"/>
    </row>
    <row r="42" spans="2:7">
      <c r="B42" s="117"/>
      <c r="C42" s="110"/>
      <c r="D42" s="118"/>
      <c r="E42" s="117"/>
      <c r="F42" s="110"/>
      <c r="G42" s="118"/>
    </row>
    <row r="43" spans="2:7">
      <c r="B43" s="119"/>
      <c r="C43" s="64"/>
      <c r="D43" s="118"/>
      <c r="E43" s="119"/>
      <c r="F43" s="64"/>
      <c r="G43" s="118"/>
    </row>
    <row r="44" spans="2:7">
      <c r="B44" s="120" t="s">
        <v>168</v>
      </c>
      <c r="C44" s="82"/>
      <c r="D44" s="118"/>
      <c r="E44" s="120" t="s">
        <v>168</v>
      </c>
      <c r="F44" s="82"/>
      <c r="G44" s="118"/>
    </row>
    <row r="45" spans="2:7">
      <c r="B45" s="120" t="s">
        <v>170</v>
      </c>
      <c r="C45" s="82"/>
      <c r="D45" s="118"/>
      <c r="E45" s="120" t="s">
        <v>170</v>
      </c>
      <c r="F45" s="82"/>
      <c r="G45" s="118"/>
    </row>
    <row r="46" spans="2:7">
      <c r="B46" s="120" t="s">
        <v>169</v>
      </c>
      <c r="C46" s="82"/>
      <c r="D46" s="118"/>
      <c r="E46" s="120" t="s">
        <v>169</v>
      </c>
      <c r="F46" s="82"/>
      <c r="G46" s="118"/>
    </row>
    <row r="47" spans="2:7">
      <c r="B47" s="120" t="s">
        <v>25</v>
      </c>
      <c r="C47" s="82"/>
      <c r="D47" s="125"/>
      <c r="E47" s="120" t="s">
        <v>25</v>
      </c>
      <c r="F47" s="82"/>
      <c r="G47" s="125"/>
    </row>
    <row r="48" spans="2:7">
      <c r="B48" s="120"/>
      <c r="C48" s="82"/>
      <c r="D48" s="118"/>
      <c r="E48" s="120"/>
      <c r="F48" s="82"/>
      <c r="G48" s="118"/>
    </row>
    <row r="49" spans="2:7">
      <c r="B49" s="121" t="s">
        <v>171</v>
      </c>
      <c r="C49" s="82"/>
      <c r="D49" s="118"/>
      <c r="E49" s="121" t="s">
        <v>171</v>
      </c>
      <c r="F49" s="82"/>
      <c r="G49" s="118"/>
    </row>
    <row r="50" spans="2:7">
      <c r="B50" s="122"/>
      <c r="C50" s="123"/>
      <c r="D50" s="124"/>
      <c r="E50" s="122"/>
      <c r="F50" s="123"/>
      <c r="G50" s="12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E24"/>
  <sheetViews>
    <sheetView tabSelected="1" workbookViewId="0">
      <selection activeCell="B9" sqref="B9"/>
    </sheetView>
  </sheetViews>
  <sheetFormatPr baseColWidth="10" defaultRowHeight="15"/>
  <cols>
    <col min="1" max="1" width="26" customWidth="1"/>
    <col min="2" max="2" width="13.140625" customWidth="1"/>
    <col min="3" max="3" width="15.5703125" customWidth="1"/>
    <col min="4" max="4" width="18.28515625" customWidth="1"/>
    <col min="5" max="5" width="14.85546875" customWidth="1"/>
    <col min="6" max="6" width="13.28515625" customWidth="1"/>
    <col min="7" max="7" width="17.28515625" bestFit="1" customWidth="1"/>
    <col min="8" max="8" width="14.5703125" customWidth="1"/>
    <col min="9" max="9" width="16.28515625" bestFit="1" customWidth="1"/>
    <col min="12" max="12" width="18.140625" bestFit="1" customWidth="1"/>
  </cols>
  <sheetData>
    <row r="1" spans="1:5" s="41" customFormat="1" ht="15.75">
      <c r="B1" s="85" t="s">
        <v>102</v>
      </c>
    </row>
    <row r="2" spans="1:5" s="41" customFormat="1" ht="15.75">
      <c r="B2" s="86" t="s">
        <v>103</v>
      </c>
    </row>
    <row r="3" spans="1:5" s="41" customFormat="1">
      <c r="B3" t="s">
        <v>163</v>
      </c>
    </row>
    <row r="4" spans="1:5" s="41" customFormat="1">
      <c r="B4" t="s">
        <v>164</v>
      </c>
    </row>
    <row r="5" spans="1:5" s="67" customFormat="1" ht="15.75">
      <c r="B5" s="84" t="s">
        <v>145</v>
      </c>
    </row>
    <row r="6" spans="1:5" s="41" customFormat="1"/>
    <row r="8" spans="1:5">
      <c r="A8" s="185" t="s">
        <v>173</v>
      </c>
      <c r="B8" s="185"/>
      <c r="C8" s="185"/>
      <c r="D8" s="185"/>
      <c r="E8" s="185"/>
    </row>
    <row r="10" spans="1:5" ht="19.5" customHeight="1">
      <c r="A10" s="127" t="s">
        <v>174</v>
      </c>
      <c r="B10" s="126"/>
      <c r="C10" s="126" t="str">
        <f>+'DATA BASE'!S2</f>
        <v xml:space="preserve">Mia </v>
      </c>
      <c r="D10" s="126" t="str">
        <f>+'DATA BASE'!T2</f>
        <v>Escobar Cornett</v>
      </c>
      <c r="E10" s="126"/>
    </row>
    <row r="11" spans="1:5" ht="19.5" customHeight="1">
      <c r="A11" s="126" t="s">
        <v>176</v>
      </c>
      <c r="B11" s="126"/>
      <c r="C11" s="127">
        <f>+'DATA BASE'!U2</f>
        <v>3275333</v>
      </c>
      <c r="D11" s="126"/>
      <c r="E11" s="126"/>
    </row>
    <row r="12" spans="1:5" ht="19.5" customHeight="1">
      <c r="A12" s="126" t="s">
        <v>175</v>
      </c>
      <c r="B12" s="126"/>
      <c r="C12" s="126" t="str">
        <f>+'DATA BASE'!B2</f>
        <v xml:space="preserve">Camilo </v>
      </c>
      <c r="D12" s="126" t="str">
        <f>+'DATA BASE'!C2</f>
        <v>Medina</v>
      </c>
      <c r="E12" s="126"/>
    </row>
    <row r="13" spans="1:5" ht="19.5" customHeight="1">
      <c r="A13" s="126" t="s">
        <v>177</v>
      </c>
      <c r="B13" s="126"/>
      <c r="C13" s="126"/>
      <c r="D13" s="126"/>
      <c r="E13" s="126"/>
    </row>
    <row r="14" spans="1:5" ht="19.5" customHeight="1">
      <c r="A14" s="126" t="s">
        <v>178</v>
      </c>
      <c r="B14" s="126"/>
      <c r="C14" s="126"/>
      <c r="D14" s="126"/>
      <c r="E14" s="126"/>
    </row>
    <row r="15" spans="1:5" ht="19.5" customHeight="1">
      <c r="A15" s="126"/>
      <c r="B15" s="126"/>
      <c r="C15" s="126"/>
      <c r="D15" s="126"/>
      <c r="E15" s="126"/>
    </row>
    <row r="16" spans="1:5" ht="19.5" customHeight="1">
      <c r="A16" s="126" t="s">
        <v>181</v>
      </c>
      <c r="B16" s="126"/>
      <c r="C16" s="126"/>
      <c r="D16" s="126"/>
      <c r="E16" s="126"/>
    </row>
    <row r="17" spans="1:5" ht="19.5" customHeight="1">
      <c r="A17" s="127" t="s">
        <v>179</v>
      </c>
      <c r="B17" s="126"/>
      <c r="C17" s="126"/>
      <c r="D17" s="126"/>
      <c r="E17" s="126"/>
    </row>
    <row r="18" spans="1:5" ht="19.5" customHeight="1">
      <c r="A18" s="126" t="s">
        <v>180</v>
      </c>
      <c r="B18" s="126"/>
      <c r="C18" s="126"/>
      <c r="D18" s="126"/>
      <c r="E18" s="126"/>
    </row>
    <row r="24" spans="1:5">
      <c r="A24" t="s">
        <v>171</v>
      </c>
      <c r="C24" t="s">
        <v>186</v>
      </c>
    </row>
  </sheetData>
  <mergeCells count="1">
    <mergeCell ref="A8:E8"/>
  </mergeCells>
  <pageMargins left="0.83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11</vt:i4>
      </vt:variant>
    </vt:vector>
  </HeadingPairs>
  <TitlesOfParts>
    <vt:vector size="20" baseType="lpstr">
      <vt:lpstr>DATA BASE</vt:lpstr>
      <vt:lpstr>contract</vt:lpstr>
      <vt:lpstr>factura</vt:lpstr>
      <vt:lpstr>Do not touch</vt:lpstr>
      <vt:lpstr>pick up</vt:lpstr>
      <vt:lpstr>Hoja1</vt:lpstr>
      <vt:lpstr>planilla ingreso</vt:lpstr>
      <vt:lpstr>pickup plantilla</vt:lpstr>
      <vt:lpstr>autorizacion</vt:lpstr>
      <vt:lpstr>condicionespago</vt:lpstr>
      <vt:lpstr>cursos</vt:lpstr>
      <vt:lpstr>formasdepago</vt:lpstr>
      <vt:lpstr>formaspago</vt:lpstr>
      <vt:lpstr>lastname</vt:lpstr>
      <vt:lpstr>locación</vt:lpstr>
      <vt:lpstr>lugarclases</vt:lpstr>
      <vt:lpstr>name</vt:lpstr>
      <vt:lpstr>nombre</vt:lpstr>
      <vt:lpstr>STUDENT</vt:lpstr>
      <vt:lpstr>tipohorario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Mia Escobar</dc:creator>
  <cp:lastModifiedBy>Colossus User</cp:lastModifiedBy>
  <cp:lastPrinted>2010-10-09T16:09:36Z</cp:lastPrinted>
  <dcterms:created xsi:type="dcterms:W3CDTF">2009-07-04T20:34:39Z</dcterms:created>
  <dcterms:modified xsi:type="dcterms:W3CDTF">2010-10-14T23:55:44Z</dcterms:modified>
</cp:coreProperties>
</file>